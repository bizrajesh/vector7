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Tenant Profile" sheetId="2" r:id="rId6"/>
    <sheet state="visible" name="Additional Settings" sheetId="3" r:id="rId7"/>
    <sheet state="visible" name="Notification Groups" sheetId="4" r:id="rId8"/>
    <sheet state="visible" name="Users" sheetId="5" r:id="rId9"/>
    <sheet state="visible" name="Approval Stages" sheetId="6" r:id="rId10"/>
    <sheet state="visible" name="Facility Master" sheetId="7" r:id="rId11"/>
    <sheet state="visible" name="Document Checklist" sheetId="8" r:id="rId12"/>
    <sheet state="visible" name="Stage Checklist Map" sheetId="9" r:id="rId13"/>
    <sheet state="visible" name="Validation" sheetId="10" r:id="rId14"/>
    <sheet state="visible" name="Lists" sheetId="11" r:id="rId15"/>
  </sheets>
  <definedNames>
    <definedName hidden="1" localSheetId="5" name="_xlnm._FilterDatabase">'Approval Stages'!$A$4:$N$152</definedName>
    <definedName hidden="1" localSheetId="6" name="_xlnm._FilterDatabase">'Facility Master'!$A$4:$N$44</definedName>
    <definedName hidden="1" localSheetId="7" name="_xlnm._FilterDatabase">'Document Checklist'!$A$4:$O$114</definedName>
    <definedName hidden="1" localSheetId="8" name="_xlnm._FilterDatabase">'Stage Checklist Map'!$A$21:$J$279</definedName>
  </definedNames>
  <calcPr/>
</workbook>
</file>

<file path=xl/sharedStrings.xml><?xml version="1.0" encoding="utf-8"?>
<sst xmlns="http://schemas.openxmlformats.org/spreadsheetml/2006/main" count="5613" uniqueCount="1127">
  <si>
    <t>Tenant Profile</t>
  </si>
  <si>
    <t>Additional Settings</t>
  </si>
  <si>
    <t>Notification Groups</t>
  </si>
  <si>
    <t>Vector7 – Tenant Admin Pre-Configuration Template</t>
  </si>
  <si>
    <t>Fill the Value column. Required fields must not be blank.</t>
  </si>
  <si>
    <t>Importer reads columns A–F. Due Working Days applies to Instalment rows only. Description (column G) is guidance.</t>
  </si>
  <si>
    <t>Sino</t>
  </si>
  <si>
    <t>Purpose: one-time setup data for a new tenant (layout promoter). Fill the yellow cells, run the Validation sheet, then import.</t>
  </si>
  <si>
    <t>Sheets</t>
  </si>
  <si>
    <t>Type</t>
  </si>
  <si>
    <t>Section</t>
  </si>
  <si>
    <t>Item</t>
  </si>
  <si>
    <t>Field</t>
  </si>
  <si>
    <t>Unit</t>
  </si>
  <si>
    <t>Unit Value</t>
  </si>
  <si>
    <t>Value</t>
  </si>
  <si>
    <t>1. Tenant Profile – name or company name, address, contact numbers and social links.</t>
  </si>
  <si>
    <t>Due Working Days</t>
  </si>
  <si>
    <t>Required</t>
  </si>
  <si>
    <t>Description</t>
  </si>
  <si>
    <t>Data Type</t>
  </si>
  <si>
    <t>2. Additional Settings – App Settings (currency, sellable %, broker commission, budget alert, booking validity, sale completion window, MRP multiplier) and the instalment plan with due working days.</t>
  </si>
  <si>
    <t>Format / Validation</t>
  </si>
  <si>
    <t>Example</t>
  </si>
  <si>
    <t>3. Notification Groups – email groups that users are tagged to.</t>
  </si>
  <si>
    <t>4. Users – login users with role (Admin, Manager, Sales, Accountant) and notification groups; column H builds the CSV text for bulk import.</t>
  </si>
  <si>
    <t>5. Approval Stages – approval stages and subtasks for Village, Town and City, with dependencies, durations and required documents.</t>
  </si>
  <si>
    <t>Identity</t>
  </si>
  <si>
    <t>6. Facility Master – facilities with Basic / Standard / Premium inclusion and unit costs for Village, Town and City.</t>
  </si>
  <si>
    <t>Email only in this release. Users are tagged to groups by Group Name.</t>
  </si>
  <si>
    <t>7. Document Checklist – documents for Agri NOC, DTCP, BDO, Town, City, Gift Deed, RERA and Plot Sale, mapped to tasks.</t>
  </si>
  <si>
    <t>Name or Company Name</t>
  </si>
  <si>
    <t>8. Stage Checklist Map – Stage × Checklist counts and Task → Document mapping per area.</t>
  </si>
  <si>
    <t>9. Validation – automatic checks; every row must show OK before import.</t>
  </si>
  <si>
    <t>10. Lists – allowed values used by dropdowns.</t>
  </si>
  <si>
    <t>Rules</t>
  </si>
  <si>
    <t>• Do not rename sheets or column headers – the importer maps by header name.</t>
  </si>
  <si>
    <t>Group Name</t>
  </si>
  <si>
    <t>• Yellow cells = tenant-editable. Grey cells = system/reference, keep as is.</t>
  </si>
  <si>
    <t>• Add rows at the bottom of a table; keep Sino / Task ID / Facility ID unique.</t>
  </si>
  <si>
    <t>Active</t>
  </si>
  <si>
    <t>Yes</t>
  </si>
  <si>
    <t>• Percentages are entered as numbers (30 = 30%), not as Excel % format.</t>
  </si>
  <si>
    <t>Text</t>
  </si>
  <si>
    <t>• Unit costs are indicative 2026 Tamil Nadu estimates (excl. GST) – each tenant should replace with its own rates.</t>
  </si>
  <si>
    <t>Max 100 characters</t>
  </si>
  <si>
    <t>Management</t>
  </si>
  <si>
    <t>Sri Murugan Promoters</t>
  </si>
  <si>
    <t>Profile Picture</t>
  </si>
  <si>
    <t>No</t>
  </si>
  <si>
    <t>Image</t>
  </si>
  <si>
    <t>App Settings</t>
  </si>
  <si>
    <t>PNG/JPG, square, min 512×512 px, max 2 MB (file name or URL)</t>
  </si>
  <si>
    <t>logo.png</t>
  </si>
  <si>
    <t>Address</t>
  </si>
  <si>
    <t>Address Line1</t>
  </si>
  <si>
    <t>Currency</t>
  </si>
  <si>
    <t>Door no., street – max 150 characters</t>
  </si>
  <si>
    <t>12, South Main Street</t>
  </si>
  <si>
    <t>Address Line2</t>
  </si>
  <si>
    <t>Area / landmark – max 150 characters</t>
  </si>
  <si>
    <t>Near Big Temple</t>
  </si>
  <si>
    <t>Code</t>
  </si>
  <si>
    <t>Village</t>
  </si>
  <si>
    <t>Village name if applicable</t>
  </si>
  <si>
    <t>Vallam</t>
  </si>
  <si>
    <t>Email</t>
  </si>
  <si>
    <t>City Or Town</t>
  </si>
  <si>
    <t>City or town name</t>
  </si>
  <si>
    <t>Thanjavur</t>
  </si>
  <si>
    <t>District</t>
  </si>
  <si>
    <t>Project status changes, budget alerts, paused projects</t>
  </si>
  <si>
    <t>District name</t>
  </si>
  <si>
    <t>State</t>
  </si>
  <si>
    <t>Sales Team</t>
  </si>
  <si>
    <t>Bookings created or expiring, instalments due or overdue</t>
  </si>
  <si>
    <t>Accounts</t>
  </si>
  <si>
    <t>Receipts, expenses, budget alerts</t>
  </si>
  <si>
    <t>List</t>
  </si>
  <si>
    <t>Select from list</t>
  </si>
  <si>
    <t>Tamil Nadu</t>
  </si>
  <si>
    <t>Pin Code</t>
  </si>
  <si>
    <t>INR</t>
  </si>
  <si>
    <t>Number</t>
  </si>
  <si>
    <t>Exactly 6 digits</t>
  </si>
  <si>
    <t>613001</t>
  </si>
  <si>
    <t>Contact</t>
  </si>
  <si>
    <t>Currency for all amounts (ISO code)</t>
  </si>
  <si>
    <t>Contact Number</t>
  </si>
  <si>
    <t>Sellable SQFT %</t>
  </si>
  <si>
    <t>Percentage</t>
  </si>
  <si>
    <t>Phone</t>
  </si>
  <si>
    <t>10-digit mobile, no +91 or spaces</t>
  </si>
  <si>
    <t>9876543210</t>
  </si>
  <si>
    <t>Alternate Contact</t>
  </si>
  <si>
    <t>Default sellable share of total land for new projects; replaced by actual road and OSR</t>
  </si>
  <si>
    <t>10-digit mobile or landline with STD code</t>
  </si>
  <si>
    <t>04362123456</t>
  </si>
  <si>
    <t>Broker Commission</t>
  </si>
  <si>
    <t>Social</t>
  </si>
  <si>
    <t>Insta</t>
  </si>
  <si>
    <t>URL</t>
  </si>
  <si>
    <t>https://www.instagram.com/&lt;handle&gt;</t>
  </si>
  <si>
    <t>https://www.instagram.com/example</t>
  </si>
  <si>
    <t>Commission paid to broker on sale value</t>
  </si>
  <si>
    <t>Face Book</t>
  </si>
  <si>
    <t>https://www.facebook.com/&lt;page&gt;</t>
  </si>
  <si>
    <t>https://www.facebook.com/example</t>
  </si>
  <si>
    <t>Expense vs Budget Alert</t>
  </si>
  <si>
    <t>Website</t>
  </si>
  <si>
    <t>Must start with https://</t>
  </si>
  <si>
    <t>https://www.example.com</t>
  </si>
  <si>
    <t>Youtube</t>
  </si>
  <si>
    <t>Alert when spend crosses this % of budget (stage, facility, project)</t>
  </si>
  <si>
    <t>https://www.youtube.com/@&lt;channel&gt;</t>
  </si>
  <si>
    <t>https://www.youtube.com/@example</t>
  </si>
  <si>
    <t>Booking Validity</t>
  </si>
  <si>
    <t>LinkedIn</t>
  </si>
  <si>
    <t>Days</t>
  </si>
  <si>
    <t>https://www.linkedin.com/company/&lt;name&gt;</t>
  </si>
  <si>
    <t>https://www.linkedin.com/company/example</t>
  </si>
  <si>
    <t>Booking expires if the 1st instalment is not paid within this period</t>
  </si>
  <si>
    <t>Sale Completion Window</t>
  </si>
  <si>
    <t>All instalments and the sale deed must fall within this window</t>
  </si>
  <si>
    <t>MRP Multiplier</t>
  </si>
  <si>
    <t>Times</t>
  </si>
  <si>
    <t>MRP per sq ft = Production cost per sq ft × this multiplier</t>
  </si>
  <si>
    <t>Instalment</t>
  </si>
  <si>
    <t>1st Instalment</t>
  </si>
  <si>
    <t>Due on booking day</t>
  </si>
  <si>
    <t>2nd Instalment</t>
  </si>
  <si>
    <t>Due 7 working days after booking</t>
  </si>
  <si>
    <t>3rd Instalment</t>
  </si>
  <si>
    <t>Due 13 working days after booking</t>
  </si>
  <si>
    <t>Users – Login Enrolment</t>
  </si>
  <si>
    <t>Fill one row per login user, or copy column H (with the header in H4) and paste into Users &amp; Roles → Bulk import. Example: Ravi Kumar, ravi@example.com, 9876543210, Manager, "Management, Sales Team".</t>
  </si>
  <si>
    <t>Full Name</t>
  </si>
  <si>
    <t>Mobile</t>
  </si>
  <si>
    <t>Role</t>
  </si>
  <si>
    <t>full_name,email,mobile,role,notification_groups</t>
  </si>
  <si>
    <t>Approval Stages – Master</t>
  </si>
  <si>
    <t>One row per subtask. Default Duration is editable; Depends On lists Task IDs (comma-separated).</t>
  </si>
  <si>
    <t>Area Type</t>
  </si>
  <si>
    <t>Stage No</t>
  </si>
  <si>
    <t>Stage</t>
  </si>
  <si>
    <t>Task ID</t>
  </si>
  <si>
    <t>Short Name</t>
  </si>
  <si>
    <t>Subtask</t>
  </si>
  <si>
    <t>Depends On</t>
  </si>
  <si>
    <t>Responsible / Authority</t>
  </si>
  <si>
    <t>Output / Document</t>
  </si>
  <si>
    <t>Default Duration (Days)</t>
  </si>
  <si>
    <t>Required Doc IDs</t>
  </si>
  <si>
    <t>Doc Count</t>
  </si>
  <si>
    <t>Facility Master</t>
  </si>
  <si>
    <t>Tier flags: Y = included · Opt = optional (not costed) · - = not included. Unit costs in ₹, excl. GST.</t>
  </si>
  <si>
    <t>Facility ID</t>
  </si>
  <si>
    <t>Category</t>
  </si>
  <si>
    <t>Facility</t>
  </si>
  <si>
    <t>Specification</t>
  </si>
  <si>
    <t>Basic</t>
  </si>
  <si>
    <t>Standard</t>
  </si>
  <si>
    <t>Premium</t>
  </si>
  <si>
    <t>Statutory</t>
  </si>
  <si>
    <t>Village Unit Cost (₹)</t>
  </si>
  <si>
    <t>Town Unit Cost (₹)</t>
  </si>
  <si>
    <t>City Unit Cost (₹)</t>
  </si>
  <si>
    <t>Land Due Diligence</t>
  </si>
  <si>
    <t>F01</t>
  </si>
  <si>
    <t>V1.1</t>
  </si>
  <si>
    <t>Roads</t>
  </si>
  <si>
    <t>Land Records</t>
  </si>
  <si>
    <t>Gravel / WBM road</t>
  </si>
  <si>
    <t>Collect patta, chitta, A-register extract, FMB sketch</t>
  </si>
  <si>
    <t>Compacted gravel with WBM layers</t>
  </si>
  <si>
    <t>sq m</t>
  </si>
  <si>
    <t>Owner / Surveyor</t>
  </si>
  <si>
    <t>Land record set</t>
  </si>
  <si>
    <t>AGR-02, AGR-04</t>
  </si>
  <si>
    <t>Y</t>
  </si>
  <si>
    <t>-</t>
  </si>
  <si>
    <t>F02</t>
  </si>
  <si>
    <t>Bituminous (BT) road</t>
  </si>
  <si>
    <t>WMM base + 50 mm BT surface</t>
  </si>
  <si>
    <t>F03</t>
  </si>
  <si>
    <t>Cement concrete (CC) road</t>
  </si>
  <si>
    <t>M30 concrete, 200 mm, on GSB base</t>
  </si>
  <si>
    <t>F04</t>
  </si>
  <si>
    <t>Kerb stones</t>
  </si>
  <si>
    <t>Precast kerb both sides</t>
  </si>
  <si>
    <t>running m</t>
  </si>
  <si>
    <t>F05</t>
  </si>
  <si>
    <t>Footpath with paver blocks</t>
  </si>
  <si>
    <t>1.2 m wide, both sides</t>
  </si>
  <si>
    <t>F06</t>
  </si>
  <si>
    <t>Drainage</t>
  </si>
  <si>
    <t>Open PCC / brick drain</t>
  </si>
  <si>
    <t>Lined open drain, both sides</t>
  </si>
  <si>
    <t>F07</t>
  </si>
  <si>
    <t>Covered RCC drain</t>
  </si>
  <si>
    <t>RCC drain with cover slabs, both sides</t>
  </si>
  <si>
    <t>F08</t>
  </si>
  <si>
    <t>Road crossing culverts</t>
  </si>
  <si>
    <t>RCC pipe / box culvert</t>
  </si>
  <si>
    <t>nos</t>
  </si>
  <si>
    <t>F09</t>
  </si>
  <si>
    <t>Underground sewer line (UGD)</t>
  </si>
  <si>
    <t>PVC/SW pipe with manholes</t>
  </si>
  <si>
    <t>F10</t>
  </si>
  <si>
    <t>Sewage treatment plant (package)</t>
  </si>
  <si>
    <t>Packaged STP</t>
  </si>
  <si>
    <t>KLD</t>
  </si>
  <si>
    <t>F11</t>
  </si>
  <si>
    <t>Water</t>
  </si>
  <si>
    <t>Borewell with submersible pump</t>
  </si>
  <si>
    <t>Common source</t>
  </si>
  <si>
    <t>F12</t>
  </si>
  <si>
    <t>Overhead tank (OHT)</t>
  </si>
  <si>
    <t>RCC / sintex elevated storage</t>
  </si>
  <si>
    <t>litres</t>
  </si>
  <si>
    <t>F13</t>
  </si>
  <si>
    <t>Distribution pipeline</t>
  </si>
  <si>
    <t>HDPE / PVC 90–110 mm</t>
  </si>
  <si>
    <t>F14</t>
  </si>
  <si>
    <t>House service connection stub</t>
  </si>
  <si>
    <t>Valve + stub per plot</t>
  </si>
  <si>
    <t>plots</t>
  </si>
  <si>
    <t>F15</t>
  </si>
  <si>
    <t>Common rainwater harvesting pits</t>
  </si>
  <si>
    <t>Recharge pits in OSR / roads</t>
  </si>
  <si>
    <t>F16</t>
  </si>
  <si>
    <t>Electrical</t>
  </si>
  <si>
    <t>LT line (poles + conductor)</t>
  </si>
  <si>
    <t>Overhead LT distribution</t>
  </si>
  <si>
    <t>F17</t>
  </si>
  <si>
    <t>Underground LT cabling</t>
  </si>
  <si>
    <t>Armoured cable with feeder pillars</t>
  </si>
  <si>
    <t>F18</t>
  </si>
  <si>
    <t>Distribution transformer</t>
  </si>
  <si>
    <t>250 kVA incl. installation</t>
  </si>
  <si>
    <t>F19</t>
  </si>
  <si>
    <t>Streetlight – LED on GI pole</t>
  </si>
  <si>
    <t>7–9 m pole, 60 W LED</t>
  </si>
  <si>
    <t>F20</t>
  </si>
  <si>
    <t>Decorative / solar streetlight</t>
  </si>
  <si>
    <t>Decorative pole or solar LED</t>
  </si>
  <si>
    <t>F21</t>
  </si>
  <si>
    <t>Boundary &amp; Entry</t>
  </si>
  <si>
    <t>Plot demarcation stones</t>
  </si>
  <si>
    <t>Granite stones at plot corners</t>
  </si>
  <si>
    <t>V1.2</t>
  </si>
  <si>
    <t>EC 30 Yrs</t>
  </si>
  <si>
    <t>Obtain Encumbrance Certificate (30+ years)</t>
  </si>
  <si>
    <t>Owner / SRO</t>
  </si>
  <si>
    <t>EC</t>
  </si>
  <si>
    <t>AGR-05</t>
  </si>
  <si>
    <t>F22</t>
  </si>
  <si>
    <t>Chain-link perimeter fence</t>
  </si>
  <si>
    <t>1.5 m with angle posts</t>
  </si>
  <si>
    <t>V1.3</t>
  </si>
  <si>
    <t>Title Opinion</t>
  </si>
  <si>
    <t>Collect parent documents; legal title opinion</t>
  </si>
  <si>
    <t>F23</t>
  </si>
  <si>
    <t>V1.1, V1.2</t>
  </si>
  <si>
    <t>Advocate</t>
  </si>
  <si>
    <t>Compound wall (perimeter)</t>
  </si>
  <si>
    <t>Title opinion</t>
  </si>
  <si>
    <t>Brick/block wall 1.8 m</t>
  </si>
  <si>
    <t>AGR-06, DTC-04</t>
  </si>
  <si>
    <t>V1.4</t>
  </si>
  <si>
    <t>Legal Risk Check</t>
  </si>
  <si>
    <t>Verify no poramboke, land-ceiling, litigation or acquisition issues</t>
  </si>
  <si>
    <t>Advocate / Taluk office</t>
  </si>
  <si>
    <t>Clearance note</t>
  </si>
  <si>
    <t>F24</t>
  </si>
  <si>
    <t>Entrance name board</t>
  </si>
  <si>
    <t>Steel / ACP board</t>
  </si>
  <si>
    <t>V1.5</t>
  </si>
  <si>
    <t>Boundary Survey</t>
  </si>
  <si>
    <t>Field survey and boundary fixing with neighbours</t>
  </si>
  <si>
    <t>Licensed Surveyor</t>
  </si>
  <si>
    <t>Boundary sketch</t>
  </si>
  <si>
    <t>Classification &amp; Feasibility</t>
  </si>
  <si>
    <t>V2.1</t>
  </si>
  <si>
    <t>Dry/Wet Check</t>
  </si>
  <si>
    <t>Confirm dry (punjai) vs wet (nanjai) classification</t>
  </si>
  <si>
    <t>Owner / VAO</t>
  </si>
  <si>
    <t>F25</t>
  </si>
  <si>
    <t>Classification note</t>
  </si>
  <si>
    <t>Entrance arch</t>
  </si>
  <si>
    <t>AGR-03, AGR-08, AGR-09</t>
  </si>
  <si>
    <t>RCC arch with signage</t>
  </si>
  <si>
    <t>V2.2</t>
  </si>
  <si>
    <t>Planning Status</t>
  </si>
  <si>
    <t>F26</t>
  </si>
  <si>
    <t>Gated entrance with security cabin</t>
  </si>
  <si>
    <t>Gate, cabin, boom barrier</t>
  </si>
  <si>
    <t>F27</t>
  </si>
  <si>
    <t>Street name / direction boards</t>
  </si>
  <si>
    <t>Reflective sign boards</t>
  </si>
  <si>
    <t>F28</t>
  </si>
  <si>
    <t>OSR / Park</t>
  </si>
  <si>
    <t>OSR fencing</t>
  </si>
  <si>
    <t>Chain-link around OSR</t>
  </si>
  <si>
    <t>F29</t>
  </si>
  <si>
    <t>Park landscaping</t>
  </si>
  <si>
    <t>Lawn, shrubs, soil prep</t>
  </si>
  <si>
    <t>F30</t>
  </si>
  <si>
    <t>Walking track</t>
  </si>
  <si>
    <t>1.5 m paver track</t>
  </si>
  <si>
    <t>F31</t>
  </si>
  <si>
    <t>Children's play equipment</t>
  </si>
  <si>
    <t>Swing, slide, see-saw set</t>
  </si>
  <si>
    <t>sets</t>
  </si>
  <si>
    <t>F32</t>
  </si>
  <si>
    <t>Park benches</t>
  </si>
  <si>
    <t>Granite / cast-iron</t>
  </si>
  <si>
    <t>F33</t>
  </si>
  <si>
    <t>Outdoor gym</t>
  </si>
  <si>
    <t>6–8 station set</t>
  </si>
  <si>
    <t>F34</t>
  </si>
  <si>
    <t>Avenue trees</t>
  </si>
  <si>
    <t>Sapling with tree guard</t>
  </si>
  <si>
    <t>F35</t>
  </si>
  <si>
    <t>Premium Amenities</t>
  </si>
  <si>
    <t>Clubhouse</t>
  </si>
  <si>
    <t>RCC building incl. finishes</t>
  </si>
  <si>
    <t>sq ft</t>
  </si>
  <si>
    <t>F36</t>
  </si>
  <si>
    <t>Swimming pool</t>
  </si>
  <si>
    <t>RCC pool with filtration</t>
  </si>
  <si>
    <t>F37</t>
  </si>
  <si>
    <t>CCTV surveillance</t>
  </si>
  <si>
    <t>IP camera incl. cabling &amp; NVR share</t>
  </si>
  <si>
    <t>F38</t>
  </si>
  <si>
    <t>Telecom / fibre duct</t>
  </si>
  <si>
    <t>HDPE duct along roads</t>
  </si>
  <si>
    <t>F39</t>
  </si>
  <si>
    <t>EV charging point</t>
  </si>
  <si>
    <t>7 kW AC charger</t>
  </si>
  <si>
    <t>F40</t>
  </si>
  <si>
    <t>Common</t>
  </si>
  <si>
    <t>Solid waste collection point</t>
  </si>
  <si>
    <t>Bin platform with shed</t>
  </si>
  <si>
    <t>Town / City costs pre-filled at 1.10× / 1.25× the Village rate – overwrite with the tenant's own rates.</t>
  </si>
  <si>
    <t>Document Checklist – Master</t>
  </si>
  <si>
    <t>One row per document, mapped to a Stage and to the exact Task ID for each area (N/A = not applicable).</t>
  </si>
  <si>
    <t>Checklist</t>
  </si>
  <si>
    <t>Doc ID</t>
  </si>
  <si>
    <t>Applies To</t>
  </si>
  <si>
    <t>Document / Item</t>
  </si>
  <si>
    <t>Issued By / Source</t>
  </si>
  <si>
    <t>Submission Format</t>
  </si>
  <si>
    <t>Mandatory</t>
  </si>
  <si>
    <t>Condition / Remarks</t>
  </si>
  <si>
    <t>Village Task ID</t>
  </si>
  <si>
    <t>Town Task ID</t>
  </si>
  <si>
    <t>City Task ID</t>
  </si>
  <si>
    <t>Stage × Checklist Map</t>
  </si>
  <si>
    <t>Top: number of documents per Stage and Checklist (live from Document Checklist). Bottom: flat Task → Document mapping for import.</t>
  </si>
  <si>
    <t>Agri NOC</t>
  </si>
  <si>
    <t>DTCP Approval</t>
  </si>
  <si>
    <t>AGR-01</t>
  </si>
  <si>
    <t>Local BDO Approval</t>
  </si>
  <si>
    <t>Town Approval</t>
  </si>
  <si>
    <t>City Approval</t>
  </si>
  <si>
    <t>Gift Deed</t>
  </si>
  <si>
    <t>RERA</t>
  </si>
  <si>
    <t>Plot Sale</t>
  </si>
  <si>
    <t>Total</t>
  </si>
  <si>
    <t>All</t>
  </si>
  <si>
    <t>Land-use conversion application form</t>
  </si>
  <si>
    <t>Owner / Consultant</t>
  </si>
  <si>
    <t>Online upload</t>
  </si>
  <si>
    <t>Under TN CLU Rules 2017 (as amended) or zone reclassification</t>
  </si>
  <si>
    <t>Change of Land Use / Zone Conversion</t>
  </si>
  <si>
    <t>V3.1</t>
  </si>
  <si>
    <t>T3.1</t>
  </si>
  <si>
    <t>C3.1</t>
  </si>
  <si>
    <t>AGR-02</t>
  </si>
  <si>
    <t>Patta and Chitta</t>
  </si>
  <si>
    <t>Revenue (e-Services)</t>
  </si>
  <si>
    <t>Online copy</t>
  </si>
  <si>
    <t>T1.1</t>
  </si>
  <si>
    <t>C1.1</t>
  </si>
  <si>
    <t>AGR-03</t>
  </si>
  <si>
    <t>A-register / Adangal extract</t>
  </si>
  <si>
    <t>Shows dry (punjai) / wet (nanjai) classification</t>
  </si>
  <si>
    <t>Confirm land is in a non-planning area</t>
  </si>
  <si>
    <t>DTCP (District / Regional office)</t>
  </si>
  <si>
    <t>T2.1</t>
  </si>
  <si>
    <t>Planning status</t>
  </si>
  <si>
    <t>C2.1</t>
  </si>
  <si>
    <t>AGR-04</t>
  </si>
  <si>
    <t>FMB sketch</t>
  </si>
  <si>
    <t>Survey dept</t>
  </si>
  <si>
    <t>V2.3</t>
  </si>
  <si>
    <t>Buffer Check</t>
  </si>
  <si>
    <t>Encumbrance Certificate (30+ years)</t>
  </si>
  <si>
    <t>Check buffers: NH (40 m residential), water bodies, railway, airport</t>
  </si>
  <si>
    <t>Sub-Registrar / TNREGINET</t>
  </si>
  <si>
    <t>Surveyor / Planner</t>
  </si>
  <si>
    <t>Buffer check</t>
  </si>
  <si>
    <t>T1.2</t>
  </si>
  <si>
    <t>C1.2</t>
  </si>
  <si>
    <t>AGR-06</t>
  </si>
  <si>
    <t>Sale deed / parent title documents</t>
  </si>
  <si>
    <t>Owner</t>
  </si>
  <si>
    <t>Self-attested copy</t>
  </si>
  <si>
    <t>T1.3</t>
  </si>
  <si>
    <t>C1.3</t>
  </si>
  <si>
    <t>V2.4</t>
  </si>
  <si>
    <t>Go/No-Go</t>
  </si>
  <si>
    <t>AGR-07</t>
  </si>
  <si>
    <t>Go / No-Go feasibility decision</t>
  </si>
  <si>
    <t>V1.4, V2.1, V2.2, V2.3</t>
  </si>
  <si>
    <t>Owner / Developer</t>
  </si>
  <si>
    <t>Site location sketch with surroundings</t>
  </si>
  <si>
    <t>Decision</t>
  </si>
  <si>
    <t>Drawing (PDF)</t>
  </si>
  <si>
    <t>Show roads, water bodies, adjoining uses within 500 m</t>
  </si>
  <si>
    <t>Layout Design</t>
  </si>
  <si>
    <t>V4.3</t>
  </si>
  <si>
    <t>T4.3</t>
  </si>
  <si>
    <t>C4.3</t>
  </si>
  <si>
    <t>Change of Land Use (CLU)</t>
  </si>
  <si>
    <t>CLU Application</t>
  </si>
  <si>
    <t>Prepare CLU application (TN CLU Rules 2017, as amended by G.O. 149 / 2026)</t>
  </si>
  <si>
    <t>AGR-08</t>
  </si>
  <si>
    <t>CLU application</t>
  </si>
  <si>
    <t>Site photographs (all sides)</t>
  </si>
  <si>
    <t>AGR-01, AGR-12, AGR-13, AGR-14</t>
  </si>
  <si>
    <t>Images</t>
  </si>
  <si>
    <t>Geo-tagged preferred</t>
  </si>
  <si>
    <t>V3.2</t>
  </si>
  <si>
    <t>CLU Submit</t>
  </si>
  <si>
    <t>Submit CLU application online</t>
  </si>
  <si>
    <t>AGR-09</t>
  </si>
  <si>
    <t>Acknowledgement</t>
  </si>
  <si>
    <t>Land classification certificate</t>
  </si>
  <si>
    <t>VAO / Tahsildar</t>
  </si>
  <si>
    <t>Original</t>
  </si>
  <si>
    <t>Conditional</t>
  </si>
  <si>
    <t>If classification is disputed or not clear in A-register</t>
  </si>
  <si>
    <t>V3.3</t>
  </si>
  <si>
    <t>CLU Inspection</t>
  </si>
  <si>
    <t>Field inspection and report</t>
  </si>
  <si>
    <t>DTCP (District / Regional office) / Revenue</t>
  </si>
  <si>
    <t>AGR-10</t>
  </si>
  <si>
    <t>Inspection report</t>
  </si>
  <si>
    <t>Agriculture Department NOC</t>
  </si>
  <si>
    <t>Joint Director of Agriculture</t>
  </si>
  <si>
    <t>Wet land or where required; dry land in non-planning areas no longer needs Agri report after G.O. 149 (2026)</t>
  </si>
  <si>
    <t>V3.4</t>
  </si>
  <si>
    <t>T3.3</t>
  </si>
  <si>
    <t>CLU Fees</t>
  </si>
  <si>
    <t>C3.3</t>
  </si>
  <si>
    <t>Pay conversion charges</t>
  </si>
  <si>
    <t>Challan</t>
  </si>
  <si>
    <t>AGR-11</t>
  </si>
  <si>
    <t>AGR-15</t>
  </si>
  <si>
    <t>WRD / PWD NOC</t>
  </si>
  <si>
    <t>Water Resources Dept</t>
  </si>
  <si>
    <t>If near tank, channel, river or in catchment</t>
  </si>
  <si>
    <t>NOCs</t>
  </si>
  <si>
    <t>V5.2</t>
  </si>
  <si>
    <t>T5.2</t>
  </si>
  <si>
    <t>C5.2</t>
  </si>
  <si>
    <t>V3.5</t>
  </si>
  <si>
    <t>CLU Order</t>
  </si>
  <si>
    <t>Receive CLU order</t>
  </si>
  <si>
    <t>CLU order</t>
  </si>
  <si>
    <t>AGR-12</t>
  </si>
  <si>
    <t>AGR-16</t>
  </si>
  <si>
    <t>Affidavit – no tenancy / not irrigated / no dispute</t>
  </si>
  <si>
    <t>Owner (notarised)</t>
  </si>
  <si>
    <t>V4.1</t>
  </si>
  <si>
    <t>Engage Consultants</t>
  </si>
  <si>
    <t>Engage licensed surveyor and registered architect / planner</t>
  </si>
  <si>
    <t>Engagement</t>
  </si>
  <si>
    <t>AGR-13</t>
  </si>
  <si>
    <t>Owner ID and address proof (Aadhaar, PAN)</t>
  </si>
  <si>
    <t>V4.2</t>
  </si>
  <si>
    <t>Topo Survey</t>
  </si>
  <si>
    <t>Topographic survey and levels</t>
  </si>
  <si>
    <t>V4.1, V1.5</t>
  </si>
  <si>
    <t>Topo drawing</t>
  </si>
  <si>
    <t>AGR-14</t>
  </si>
  <si>
    <t>DTC-06</t>
  </si>
  <si>
    <t>Power of Attorney</t>
  </si>
  <si>
    <t>Registered copy</t>
  </si>
  <si>
    <t>If applicant is not the owner</t>
  </si>
  <si>
    <t>Draft Layout</t>
  </si>
  <si>
    <t>Draft layout per TNCDBR 2019 (roads, OSR, public-purpose area, plots)</t>
  </si>
  <si>
    <t>Architect / Planner</t>
  </si>
  <si>
    <t>Draft layout</t>
  </si>
  <si>
    <t>AGR-07, DTC-07, DTC-08</t>
  </si>
  <si>
    <t>Conversion fee challan</t>
  </si>
  <si>
    <t>Receipt</t>
  </si>
  <si>
    <t>V4.4</t>
  </si>
  <si>
    <t>Finalise Drawings</t>
  </si>
  <si>
    <t>Internal review and finalise drawings</t>
  </si>
  <si>
    <t>Owner / Architect</t>
  </si>
  <si>
    <t>Final drawings</t>
  </si>
  <si>
    <t>V5.1</t>
  </si>
  <si>
    <t>NOC Checklist</t>
  </si>
  <si>
    <t>Identify NOCs required for the site</t>
  </si>
  <si>
    <t>Planner</t>
  </si>
  <si>
    <t>NOC checklist</t>
  </si>
  <si>
    <t>DTC-11</t>
  </si>
  <si>
    <t>WRD NOC</t>
  </si>
  <si>
    <t>WRD / PWD NOC (if near tank, river, channel)</t>
  </si>
  <si>
    <t>T3.5</t>
  </si>
  <si>
    <t>NOC</t>
  </si>
  <si>
    <t>C3.5</t>
  </si>
  <si>
    <t>V5.3</t>
  </si>
  <si>
    <t>Highways NOC</t>
  </si>
  <si>
    <t>Highways NOC (if abutting NH / SH)</t>
  </si>
  <si>
    <t>NHAI / State Highways</t>
  </si>
  <si>
    <t>V5.4</t>
  </si>
  <si>
    <t>Local Body NOC</t>
  </si>
  <si>
    <t>CLU / Reclassification order</t>
  </si>
  <si>
    <t>No-objection / resolution from Village Panchayat / Panchayat Union</t>
  </si>
  <si>
    <t>DTCP / Govt (H&amp;UD)</t>
  </si>
  <si>
    <t>Village Panchayat / Panchayat Union</t>
  </si>
  <si>
    <t>Resolution / NOC</t>
  </si>
  <si>
    <t>BDO-02</t>
  </si>
  <si>
    <t>Final output of this checklist</t>
  </si>
  <si>
    <t>V5.5</t>
  </si>
  <si>
    <t>Access Road Cert</t>
  </si>
  <si>
    <t>T3.6</t>
  </si>
  <si>
    <t>Access-road certificate (Annexure-XVII, from road register)</t>
  </si>
  <si>
    <t>C3.6</t>
  </si>
  <si>
    <t>BDO, Panchayat Union</t>
  </si>
  <si>
    <t>Annexure-XVII certificate</t>
  </si>
  <si>
    <t>DTC-09, BDO-03</t>
  </si>
  <si>
    <t>DTC-01</t>
  </si>
  <si>
    <t>Layout application form (online portal)</t>
  </si>
  <si>
    <t>Layout Application</t>
  </si>
  <si>
    <t>V6.1</t>
  </si>
  <si>
    <t>Portal Registration</t>
  </si>
  <si>
    <t>Register on TN online planning permission portal</t>
  </si>
  <si>
    <t>Login</t>
  </si>
  <si>
    <t>V6.2</t>
  </si>
  <si>
    <t>T6.2</t>
  </si>
  <si>
    <t>C6.2</t>
  </si>
  <si>
    <t>DTC-02</t>
  </si>
  <si>
    <t>Submit Application</t>
  </si>
  <si>
    <t>Upload documents, CLU/zone order, drawings, NOCs</t>
  </si>
  <si>
    <t>V3.5, V4.4, V5.2, V5.3, V5.4, V5.5, V6.1</t>
  </si>
  <si>
    <t>Ownership set – sale deed, patta, chitta, A-register, FMB</t>
  </si>
  <si>
    <t>Application ID</t>
  </si>
  <si>
    <t>DTC-01, DTC-02, DTC-03, DTC-05, DTC-10, DTC-12, BDO-01</t>
  </si>
  <si>
    <t>V6.3</t>
  </si>
  <si>
    <t>Scrutiny Fees</t>
  </si>
  <si>
    <t>Pay scrutiny / processing fees</t>
  </si>
  <si>
    <t>DTC-03</t>
  </si>
  <si>
    <t>DTC-13</t>
  </si>
  <si>
    <t>Encumbrance Certificate (latest)</t>
  </si>
  <si>
    <t>TNREGINET</t>
  </si>
  <si>
    <t>V6.4</t>
  </si>
  <si>
    <t>BDO Forwarding</t>
  </si>
  <si>
    <t>BDO scrutiny and forwarding to DTCP for technical sanction</t>
  </si>
  <si>
    <t>Forwarding letter</t>
  </si>
  <si>
    <t>BDO-04</t>
  </si>
  <si>
    <t>DTC-04</t>
  </si>
  <si>
    <t>Legal title opinion</t>
  </si>
  <si>
    <t>Panel advocate</t>
  </si>
  <si>
    <t>Scrutiny</t>
  </si>
  <si>
    <t>V7.1</t>
  </si>
  <si>
    <t>Advocate on local body / nationalised bank panel</t>
  </si>
  <si>
    <t>Site Inspection</t>
  </si>
  <si>
    <t>Site inspection by authority</t>
  </si>
  <si>
    <t>DTC-05</t>
  </si>
  <si>
    <t>V7.2</t>
  </si>
  <si>
    <t>CLU order / zone certificate</t>
  </si>
  <si>
    <t>Revise Drawings</t>
  </si>
  <si>
    <t>DTCP / LPA</t>
  </si>
  <si>
    <t>Respond to objections; submit revised drawings</t>
  </si>
  <si>
    <t>Copy</t>
  </si>
  <si>
    <t>Revised drawings</t>
  </si>
  <si>
    <t>DTC-14</t>
  </si>
  <si>
    <t>V7.3</t>
  </si>
  <si>
    <t>Scrutiny Complete</t>
  </si>
  <si>
    <t>Technical scrutiny complete</t>
  </si>
  <si>
    <t>Scrutiny note</t>
  </si>
  <si>
    <t>Topographic survey drawing</t>
  </si>
  <si>
    <t>Drawing (PDF + CAD)</t>
  </si>
  <si>
    <t>T4.2</t>
  </si>
  <si>
    <t>Charges</t>
  </si>
  <si>
    <t>C4.2</t>
  </si>
  <si>
    <t>V8.1</t>
  </si>
  <si>
    <t>Demand Notice</t>
  </si>
  <si>
    <t>Receive demand notice</t>
  </si>
  <si>
    <t>DTCP (District / Regional office) / Village Panchayat / Panchayat Union</t>
  </si>
  <si>
    <t>Demand notice</t>
  </si>
  <si>
    <t>DTC-07</t>
  </si>
  <si>
    <t>Layout plan – roads, OSR, public purpose, plot schedule</t>
  </si>
  <si>
    <t>Registered Architect / Planner</t>
  </si>
  <si>
    <t>V8.2</t>
  </si>
  <si>
    <t>As per TNCDBR 2019</t>
  </si>
  <si>
    <t>Pay Charges</t>
  </si>
  <si>
    <t>Pay development, infrastructure / amenity and OSR charges</t>
  </si>
  <si>
    <t>Challans</t>
  </si>
  <si>
    <t>DTC-15, BDO-06</t>
  </si>
  <si>
    <t>DTC-08</t>
  </si>
  <si>
    <t>Key plan / location plan</t>
  </si>
  <si>
    <t>Handover (Gift Deed)</t>
  </si>
  <si>
    <t>Architect</t>
  </si>
  <si>
    <t>V9.1</t>
  </si>
  <si>
    <t>Register gift deed of roads and OSR to Village Panchayat / Panchayat Union (accepted by BDO)</t>
  </si>
  <si>
    <t>Registered gift deed</t>
  </si>
  <si>
    <t>DTC-16, BDO-07, BDO-08, GFT-01, GFT-02, GFT-03, GFT-04, GFT-05, GFT-06, GFT-07, GFT-08, GFT-09, GFT-10</t>
  </si>
  <si>
    <t>DTC-09</t>
  </si>
  <si>
    <t>V9.2</t>
  </si>
  <si>
    <t>DTCP Sanction</t>
  </si>
  <si>
    <t>Receive DTCP technical sanction with LP number</t>
  </si>
  <si>
    <t>Access-road certificate (Annexure-XVII)</t>
  </si>
  <si>
    <t>BDO / EO / Commissioner</t>
  </si>
  <si>
    <t>Approval / LP number</t>
  </si>
  <si>
    <t>DTC-17, BDO-05</t>
  </si>
  <si>
    <t>Based on local body road register</t>
  </si>
  <si>
    <t>T5.5</t>
  </si>
  <si>
    <t>C5.5</t>
  </si>
  <si>
    <t>V9.3</t>
  </si>
  <si>
    <t>BDO Final Approval</t>
  </si>
  <si>
    <t>Final layout approval issued by BDO (Executive Authority) under TN Panchayat Building Rules</t>
  </si>
  <si>
    <t>Layout approval order</t>
  </si>
  <si>
    <t>BDO-09</t>
  </si>
  <si>
    <t>DTC-10</t>
  </si>
  <si>
    <t>Undertaking in Form-C (Annexure-III, TNCDBR 2019)</t>
  </si>
  <si>
    <t>Development Works</t>
  </si>
  <si>
    <t>V10.1</t>
  </si>
  <si>
    <t>Form roads as per approved widths</t>
  </si>
  <si>
    <t>Contractor</t>
  </si>
  <si>
    <t>Applicable NOCs (WRD, Highways, others)</t>
  </si>
  <si>
    <t>Respective depts</t>
  </si>
  <si>
    <t>V10.2</t>
  </si>
  <si>
    <t>Drains</t>
  </si>
  <si>
    <t>Storm-water drains / culverts</t>
  </si>
  <si>
    <t>As identified in NOC checklist</t>
  </si>
  <si>
    <t>T5.1</t>
  </si>
  <si>
    <t>C5.1</t>
  </si>
  <si>
    <t>DTC-12</t>
  </si>
  <si>
    <t>V10.3</t>
  </si>
  <si>
    <t>Streetlights &amp; EB</t>
  </si>
  <si>
    <t>Streetlights and EB line extension</t>
  </si>
  <si>
    <t>Surveyor / Architect registration certificates</t>
  </si>
  <si>
    <t>Consultants</t>
  </si>
  <si>
    <t>Contractor / TANGEDCO</t>
  </si>
  <si>
    <t>EB lines</t>
  </si>
  <si>
    <t>V10.4</t>
  </si>
  <si>
    <t>Water Supply</t>
  </si>
  <si>
    <t>Water supply arrangement</t>
  </si>
  <si>
    <t>Contractor / Village Panchayat / Panchayat Union</t>
  </si>
  <si>
    <t>Water supply</t>
  </si>
  <si>
    <t>Scrutiny fee receipt</t>
  </si>
  <si>
    <t>Portal</t>
  </si>
  <si>
    <t>T6.3</t>
  </si>
  <si>
    <t>C6.3</t>
  </si>
  <si>
    <t>V10.5</t>
  </si>
  <si>
    <t>Plot Stones</t>
  </si>
  <si>
    <t>Plot demarcation stones and OSR fencing</t>
  </si>
  <si>
    <t>Surveyor / Contractor</t>
  </si>
  <si>
    <t>Stones &amp; fencing</t>
  </si>
  <si>
    <t>Compliance reply / revised drawings</t>
  </si>
  <si>
    <t>If objections raised at scrutiny</t>
  </si>
  <si>
    <t>V10.6</t>
  </si>
  <si>
    <t>Completion Check</t>
  </si>
  <si>
    <t>Completion inspection by local body</t>
  </si>
  <si>
    <t>T7.2</t>
  </si>
  <si>
    <t>V10.1, V10.2, V10.3, V10.4, V10.5</t>
  </si>
  <si>
    <t>C7.2</t>
  </si>
  <si>
    <t>BDO-10</t>
  </si>
  <si>
    <t>DTC-15</t>
  </si>
  <si>
    <t>Payment receipts – development, infrastructure &amp; amenities, OSR charges</t>
  </si>
  <si>
    <t>Final Approval &amp; Release</t>
  </si>
  <si>
    <t>V11.1</t>
  </si>
  <si>
    <t>Plot Release</t>
  </si>
  <si>
    <t>Release of plots for registration</t>
  </si>
  <si>
    <t>Release letter</t>
  </si>
  <si>
    <t>As per demand notice</t>
  </si>
  <si>
    <t>BDO-11, SAL-02</t>
  </si>
  <si>
    <t>T8.2</t>
  </si>
  <si>
    <t>C8.2</t>
  </si>
  <si>
    <t>DTC-16</t>
  </si>
  <si>
    <t>V11.2</t>
  </si>
  <si>
    <t>LP Verification</t>
  </si>
  <si>
    <t>Verify LP number on onlineppa.tn.gov.in</t>
  </si>
  <si>
    <t>Registered gift deed copy (roads &amp; OSR)</t>
  </si>
  <si>
    <t>Verification</t>
  </si>
  <si>
    <t>SRO</t>
  </si>
  <si>
    <t>Certified copy</t>
  </si>
  <si>
    <t>See Gift Deed checklist</t>
  </si>
  <si>
    <t>T9.1</t>
  </si>
  <si>
    <t>C9.1</t>
  </si>
  <si>
    <t>V12.1</t>
  </si>
  <si>
    <t>RERA Check</t>
  </si>
  <si>
    <t>Check TNRERA threshold (&gt;500 sq m or &gt;8 plots)</t>
  </si>
  <si>
    <t>Consultant</t>
  </si>
  <si>
    <t>Applicability</t>
  </si>
  <si>
    <t>DTC-17</t>
  </si>
  <si>
    <t>RER-01</t>
  </si>
  <si>
    <t>Approval proceedings with LP number</t>
  </si>
  <si>
    <t>DTCP</t>
  </si>
  <si>
    <t>Verify on onlineppa.tn.gov.in</t>
  </si>
  <si>
    <t>V12.2</t>
  </si>
  <si>
    <t>RERA Registration</t>
  </si>
  <si>
    <t>Register project with TNRERA</t>
  </si>
  <si>
    <t>T9.2</t>
  </si>
  <si>
    <t>C9.2</t>
  </si>
  <si>
    <t>TNRERA</t>
  </si>
  <si>
    <t>RERA number</t>
  </si>
  <si>
    <t>RER-02, RER-03, RER-04, RER-05, RER-06, RER-07, RER-08, RER-09, RER-10, RER-11, RER-12, RER-13, RER-14, RER-15, SAL-03</t>
  </si>
  <si>
    <t>BDO-01</t>
  </si>
  <si>
    <t>Application routed through Panchayat Union</t>
  </si>
  <si>
    <t>Online upload / Hard copy</t>
  </si>
  <si>
    <t>Sub-division &amp; Sale</t>
  </si>
  <si>
    <t>V13.1</t>
  </si>
  <si>
    <t>DTCP accepts layouts only via the local body</t>
  </si>
  <si>
    <t>Sub-division</t>
  </si>
  <si>
    <t>Survey sub-division for individual plots</t>
  </si>
  <si>
    <t>Taluk / Survey dept</t>
  </si>
  <si>
    <t>SAL-05</t>
  </si>
  <si>
    <t>N/A</t>
  </si>
  <si>
    <t>V13.2</t>
  </si>
  <si>
    <t>Marketing</t>
  </si>
  <si>
    <t>Marketing and bookings</t>
  </si>
  <si>
    <t>V11.1, V12.2</t>
  </si>
  <si>
    <t>Developer</t>
  </si>
  <si>
    <t>Bookings</t>
  </si>
  <si>
    <t>SAL-01, SAL-04, SAL-06, SAL-07, SAL-08, SAL-09, SAL-10</t>
  </si>
  <si>
    <t>V13.3</t>
  </si>
  <si>
    <t>Sale Deeds</t>
  </si>
  <si>
    <t>Village Panchayat resolution / no-objection</t>
  </si>
  <si>
    <t>Village Panchayat</t>
  </si>
  <si>
    <t>Register sale deeds</t>
  </si>
  <si>
    <t>V13.1, V13.2</t>
  </si>
  <si>
    <t>Sale deeds</t>
  </si>
  <si>
    <t>SAL-11, SAL-12, SAL-13, SAL-14, SAL-15</t>
  </si>
  <si>
    <t>BDO-03</t>
  </si>
  <si>
    <t>Access-road certificate (Annexure-XVII) from road register</t>
  </si>
  <si>
    <t>V13.4</t>
  </si>
  <si>
    <t>Patta Transfer</t>
  </si>
  <si>
    <t>Patta transfer to buyers</t>
  </si>
  <si>
    <t>Taluk office</t>
  </si>
  <si>
    <t>Buyer pattas</t>
  </si>
  <si>
    <t>SAL-16</t>
  </si>
  <si>
    <t>Town</t>
  </si>
  <si>
    <t>BDO scrutiny and forwarding letter to DTCP</t>
  </si>
  <si>
    <t>Letter</t>
  </si>
  <si>
    <t>BDO-05</t>
  </si>
  <si>
    <t>DTCP technical sanction copy</t>
  </si>
  <si>
    <t>BDO-06</t>
  </si>
  <si>
    <t>T1.1, T1.2</t>
  </si>
  <si>
    <t>Panchayat development charges receipt</t>
  </si>
  <si>
    <t>Panchayat Union</t>
  </si>
  <si>
    <t>T1.4</t>
  </si>
  <si>
    <t>BDO-07</t>
  </si>
  <si>
    <t>Registered gift deed in favour of Village Panchayat</t>
  </si>
  <si>
    <t>Accepted by BDO</t>
  </si>
  <si>
    <t>T1.5</t>
  </si>
  <si>
    <t>BDO-08</t>
  </si>
  <si>
    <t>Undertaking to form roads, drains, streetlights</t>
  </si>
  <si>
    <t>BDO final layout approval order</t>
  </si>
  <si>
    <t>Executive Authority approval – TN Panchayat Building Rules</t>
  </si>
  <si>
    <t>T2.2</t>
  </si>
  <si>
    <t>Zone Check</t>
  </si>
  <si>
    <t>Check Master Plan / LPA zoning of survey number</t>
  </si>
  <si>
    <t>Local Planning Authority / DTCP (District / Regional office)</t>
  </si>
  <si>
    <t>Zone extract</t>
  </si>
  <si>
    <t>TWN-01</t>
  </si>
  <si>
    <t>T2.3</t>
  </si>
  <si>
    <t>T2.4</t>
  </si>
  <si>
    <t>T1.4, T2.1, T2.2, T2.3</t>
  </si>
  <si>
    <t>Completion inspection report of development works</t>
  </si>
  <si>
    <t>Report</t>
  </si>
  <si>
    <t>Zone Conversion / CLU</t>
  </si>
  <si>
    <t>Zone Application</t>
  </si>
  <si>
    <t>If already residential zone: obtain zone certificate; else prepare reclassification application</t>
  </si>
  <si>
    <t>Owner / Planner</t>
  </si>
  <si>
    <t>Application</t>
  </si>
  <si>
    <t>T3.2</t>
  </si>
  <si>
    <t>Zone Submit</t>
  </si>
  <si>
    <t>Submit reclassification to LPA / DTCP</t>
  </si>
  <si>
    <t>Public Notice</t>
  </si>
  <si>
    <t>Scrutiny, site inspection and paper publication for public objections</t>
  </si>
  <si>
    <t>LPA / DTCP (District / Regional office)</t>
  </si>
  <si>
    <t>Notice</t>
  </si>
  <si>
    <t>BDO-11</t>
  </si>
  <si>
    <t>Plot release letter for registration</t>
  </si>
  <si>
    <t>T3.4</t>
  </si>
  <si>
    <t>Objection Hearing</t>
  </si>
  <si>
    <t>Hearing of objections; recommendation to Government</t>
  </si>
  <si>
    <t>Recommendation</t>
  </si>
  <si>
    <t>Zone Fees</t>
  </si>
  <si>
    <t>Pay reclassification charges</t>
  </si>
  <si>
    <t>Zone Order</t>
  </si>
  <si>
    <t>Receive Government / authority reclassification order</t>
  </si>
  <si>
    <t>Master Plan zone certificate / extract</t>
  </si>
  <si>
    <t>Local Planning Authority</t>
  </si>
  <si>
    <t>Housing &amp; Urban Development Dept</t>
  </si>
  <si>
    <t>Reclassification order</t>
  </si>
  <si>
    <t>AGR-16, TWN-02</t>
  </si>
  <si>
    <t>TWN-02</t>
  </si>
  <si>
    <t>T4.1</t>
  </si>
  <si>
    <t>Zone reclassification order</t>
  </si>
  <si>
    <t>Govt (H&amp;UD) / DTCP</t>
  </si>
  <si>
    <t>If land is not already in residential zone</t>
  </si>
  <si>
    <t>T4.1, T1.5</t>
  </si>
  <si>
    <t>TWN-03</t>
  </si>
  <si>
    <t>Application to Executive Officer / Municipal Commissioner</t>
  </si>
  <si>
    <t>T4.4</t>
  </si>
  <si>
    <t>TWN-04</t>
  </si>
  <si>
    <t>EO / Municipal Commissioner</t>
  </si>
  <si>
    <t>TWN-05</t>
  </si>
  <si>
    <t>Water supply and drainage feasibility letter</t>
  </si>
  <si>
    <t>Town Panchayat / Municipality</t>
  </si>
  <si>
    <t>T5.6</t>
  </si>
  <si>
    <t>T5.3</t>
  </si>
  <si>
    <t>TWN-06</t>
  </si>
  <si>
    <t>Vacant land tax / property tax receipt</t>
  </si>
  <si>
    <t>T5.4</t>
  </si>
  <si>
    <t>No-objection / resolution from Town Panchayat / Municipality</t>
  </si>
  <si>
    <t>TWN-07</t>
  </si>
  <si>
    <t>Local body no-objection</t>
  </si>
  <si>
    <t>Executive Officer / Municipal Commissioner</t>
  </si>
  <si>
    <t>DTC-09, TWN-04</t>
  </si>
  <si>
    <t>TWN-08</t>
  </si>
  <si>
    <t>Development / infrastructure charges receipt</t>
  </si>
  <si>
    <t>Water/Drain Feasibility</t>
  </si>
  <si>
    <t>Water supply and drainage feasibility</t>
  </si>
  <si>
    <t>Feasibility letter</t>
  </si>
  <si>
    <t>TWN-09</t>
  </si>
  <si>
    <t>T6.1</t>
  </si>
  <si>
    <t>Registered gift deed in favour of Town Panchayat / Municipality</t>
  </si>
  <si>
    <t>T3.6, T4.4, T5.2, T5.3, T5.4, T5.5, T5.6, T6.1</t>
  </si>
  <si>
    <t>DTC-01, DTC-02, DTC-03, DTC-05, DTC-10, DTC-12, TWN-03, TWN-06</t>
  </si>
  <si>
    <t>TWN-10</t>
  </si>
  <si>
    <t>Completion inspection report</t>
  </si>
  <si>
    <t>T7.1</t>
  </si>
  <si>
    <t>T10.6</t>
  </si>
  <si>
    <t>TWN-11</t>
  </si>
  <si>
    <t>T7.3</t>
  </si>
  <si>
    <t>Plot release letter</t>
  </si>
  <si>
    <t>T11.1</t>
  </si>
  <si>
    <t>T8.1</t>
  </si>
  <si>
    <t>DTCP (District / Regional office) / Town Panchayat / Municipality</t>
  </si>
  <si>
    <t>CTY-01</t>
  </si>
  <si>
    <t>City</t>
  </si>
  <si>
    <t>Master Plan / DDP zone certificate</t>
  </si>
  <si>
    <t>DTCP / LPA / CMDA</t>
  </si>
  <si>
    <t>CMDA inside Chennai Metropolitan Area</t>
  </si>
  <si>
    <t>DTC-15, TWN-08</t>
  </si>
  <si>
    <t>C2.2</t>
  </si>
  <si>
    <t>Register gift deed of roads and OSR to Town Panchayat / Municipality</t>
  </si>
  <si>
    <t>CTY-02</t>
  </si>
  <si>
    <t>DTC-16, TWN-09, GFT-01, GFT-02, GFT-03, GFT-04, GFT-05, GFT-06, GFT-07, GFT-08, GFT-09, GFT-10</t>
  </si>
  <si>
    <t>Government reclassification order (G.O.)</t>
  </si>
  <si>
    <t>Govt (H&amp;UD)</t>
  </si>
  <si>
    <t>Layout Approval</t>
  </si>
  <si>
    <t>Receive approval with LP number (conditions listed)</t>
  </si>
  <si>
    <t>If not residential zone</t>
  </si>
  <si>
    <t>T10.1</t>
  </si>
  <si>
    <t>T10.2</t>
  </si>
  <si>
    <t>T10.3</t>
  </si>
  <si>
    <t>CTY-03</t>
  </si>
  <si>
    <t>Application to Corporation (online)</t>
  </si>
  <si>
    <t>T10.4</t>
  </si>
  <si>
    <t>Contractor / Town Panchayat / Municipality</t>
  </si>
  <si>
    <t>T10.5</t>
  </si>
  <si>
    <t>CTY-04</t>
  </si>
  <si>
    <t>Corporation Commissioner</t>
  </si>
  <si>
    <t>T10.1, T10.2, T10.3, T10.4, T10.5</t>
  </si>
  <si>
    <t>CTY-05</t>
  </si>
  <si>
    <t>Town Panchayat / Municipality / DTCP (District / Regional office)</t>
  </si>
  <si>
    <t>Vacant land tax receipt</t>
  </si>
  <si>
    <t>TWN-11, SAL-02</t>
  </si>
  <si>
    <t>City Corporation</t>
  </si>
  <si>
    <t>T11.2</t>
  </si>
  <si>
    <t>CTY-06</t>
  </si>
  <si>
    <t>Water supply and sewerage feasibility</t>
  </si>
  <si>
    <t>Corporation / Metro Water</t>
  </si>
  <si>
    <t>C5.6</t>
  </si>
  <si>
    <t>T12.1</t>
  </si>
  <si>
    <t>CTY-07</t>
  </si>
  <si>
    <t>Highways / traffic NOC</t>
  </si>
  <si>
    <t>NHAI / State Highways / Traffic Police</t>
  </si>
  <si>
    <t>If abutting NH/SH or major road</t>
  </si>
  <si>
    <t>T12.2</t>
  </si>
  <si>
    <t>C5.3</t>
  </si>
  <si>
    <t>CTY-08</t>
  </si>
  <si>
    <t>Airport (AAI) NOC</t>
  </si>
  <si>
    <t>Airports Authority of India</t>
  </si>
  <si>
    <t>If within airport height-restriction zone</t>
  </si>
  <si>
    <t>T13.1</t>
  </si>
  <si>
    <t>C5.7</t>
  </si>
  <si>
    <t>CTY-09</t>
  </si>
  <si>
    <t>Railway NOC</t>
  </si>
  <si>
    <t>Southern Railway</t>
  </si>
  <si>
    <t>If near railway boundary</t>
  </si>
  <si>
    <t>CTY-10</t>
  </si>
  <si>
    <t>Fire &amp; Rescue NOC</t>
  </si>
  <si>
    <t>TN Fire &amp; Rescue Services</t>
  </si>
  <si>
    <t>If clubhouse / special building proposed</t>
  </si>
  <si>
    <t>T13.2</t>
  </si>
  <si>
    <t>T11.1, T12.2</t>
  </si>
  <si>
    <t>CTY-11</t>
  </si>
  <si>
    <t>Development, infrastructure &amp; OSR charges receipts</t>
  </si>
  <si>
    <t>City Corporation / DTCP</t>
  </si>
  <si>
    <t>T13.3</t>
  </si>
  <si>
    <t>T13.1, T13.2</t>
  </si>
  <si>
    <t>T13.4</t>
  </si>
  <si>
    <t>CTY-12</t>
  </si>
  <si>
    <t>Registered gift deed in favour of Corporation</t>
  </si>
  <si>
    <t>CTY-13</t>
  </si>
  <si>
    <t>C1.1, C1.2</t>
  </si>
  <si>
    <t>Task → Document mapping (one row per area, task and document)</t>
  </si>
  <si>
    <t>Validation Checks</t>
  </si>
  <si>
    <t>C10.6</t>
  </si>
  <si>
    <t>All checks must show OK before import.</t>
  </si>
  <si>
    <t>C1.4</t>
  </si>
  <si>
    <t>CTY-14</t>
  </si>
  <si>
    <t>#</t>
  </si>
  <si>
    <t>Check</t>
  </si>
  <si>
    <t>Result</t>
  </si>
  <si>
    <t>Detail</t>
  </si>
  <si>
    <t>C11.1</t>
  </si>
  <si>
    <t>C1.5</t>
  </si>
  <si>
    <t>GFT-01</t>
  </si>
  <si>
    <t>Instalment percentages total 100</t>
  </si>
  <si>
    <t>Draft gift deed (roads, OSR, public-purpose areas)</t>
  </si>
  <si>
    <t>Draft</t>
  </si>
  <si>
    <t>Donee: Village Panchayat / Town Panchayat / Municipality / Corporation</t>
  </si>
  <si>
    <t>GFT-02</t>
  </si>
  <si>
    <t>Approved layout plan copy with road / OSR dimensions</t>
  </si>
  <si>
    <t>GFT-03</t>
  </si>
  <si>
    <t>Schedule of property – survey nos., extents, boundaries</t>
  </si>
  <si>
    <t>Local Planning Authority / DTCP Regional office (CMDA if inside Chennai Metro Area)</t>
  </si>
  <si>
    <t>Annexure</t>
  </si>
  <si>
    <t>C2.3</t>
  </si>
  <si>
    <t>GFT-04</t>
  </si>
  <si>
    <t>Last instalment due ≤ Sale Completion Window</t>
  </si>
  <si>
    <t>Title documents, patta and latest EC</t>
  </si>
  <si>
    <t>C2.4</t>
  </si>
  <si>
    <t>C1.4, C2.1, C2.2, C2.3</t>
  </si>
  <si>
    <t>GFT-05</t>
  </si>
  <si>
    <t>Donor ID proof and photographs</t>
  </si>
  <si>
    <t>C3.2</t>
  </si>
  <si>
    <t>Submit reclassification to LPA / DTCP / CMDA</t>
  </si>
  <si>
    <t>GFT-06</t>
  </si>
  <si>
    <t>Local body acceptance / resolution</t>
  </si>
  <si>
    <t>Local body / BDO</t>
  </si>
  <si>
    <t>LPA / DTCP Regional office (CMDA if inside Chennai Metro Area)</t>
  </si>
  <si>
    <t>GFT-07</t>
  </si>
  <si>
    <t>Two witnesses with ID proof</t>
  </si>
  <si>
    <t>Percentage settings between 0 and 100</t>
  </si>
  <si>
    <t>C3.4</t>
  </si>
  <si>
    <t>GFT-08</t>
  </si>
  <si>
    <t>Stamp duty and registration fee payment</t>
  </si>
  <si>
    <t>As applicable for gift to local body</t>
  </si>
  <si>
    <t>AGR-16, CTY-02</t>
  </si>
  <si>
    <t>GFT-09</t>
  </si>
  <si>
    <t>Original + certified copy</t>
  </si>
  <si>
    <t>All settings have a Unit Value</t>
  </si>
  <si>
    <t>Submit copy to DTCP and local body</t>
  </si>
  <si>
    <t>C4.1</t>
  </si>
  <si>
    <t>GFT-10</t>
  </si>
  <si>
    <t>Mutation of roads / OSR in local body records</t>
  </si>
  <si>
    <t>Local body / Revenue</t>
  </si>
  <si>
    <t>C4.1, C1.5</t>
  </si>
  <si>
    <t>Setting Sino unique</t>
  </si>
  <si>
    <t>C4.4</t>
  </si>
  <si>
    <t>Tenant Profile – required fields filled</t>
  </si>
  <si>
    <t>Applicability check (&gt;500 sq m or &gt;8 plots)</t>
  </si>
  <si>
    <t>Note</t>
  </si>
  <si>
    <t>C12.1</t>
  </si>
  <si>
    <t>RER-02</t>
  </si>
  <si>
    <t>Promoter PAN, Aadhaar, photograph</t>
  </si>
  <si>
    <t>Promoter</t>
  </si>
  <si>
    <t>Pin Code is 6 digits</t>
  </si>
  <si>
    <t>C12.2</t>
  </si>
  <si>
    <t>C5.4</t>
  </si>
  <si>
    <t>No-objection / resolution from City Corporation</t>
  </si>
  <si>
    <t>RER-03</t>
  </si>
  <si>
    <t>Entity documents – incorporation / partnership deed / board resolution</t>
  </si>
  <si>
    <t>If promoter is a company, firm or LLP</t>
  </si>
  <si>
    <t>DTC-09, CTY-04</t>
  </si>
  <si>
    <t>Approval Task IDs unique</t>
  </si>
  <si>
    <t>RER-04</t>
  </si>
  <si>
    <t>Approved layout proceedings and plan (LP number)</t>
  </si>
  <si>
    <t>DTCP / local body</t>
  </si>
  <si>
    <t>RER-05</t>
  </si>
  <si>
    <t>Title documents and legal title report</t>
  </si>
  <si>
    <t>Other NOCs</t>
  </si>
  <si>
    <t>Airport / Railway / Fire &amp; other NOCs as applicable</t>
  </si>
  <si>
    <t>AAI / Railways / others</t>
  </si>
  <si>
    <t>CTY-08, CTY-09, CTY-10</t>
  </si>
  <si>
    <t>Approval durations are ≥ 0</t>
  </si>
  <si>
    <t>C6.1</t>
  </si>
  <si>
    <t>RER-06</t>
  </si>
  <si>
    <t>Latest Encumbrance Certificate</t>
  </si>
  <si>
    <t>Facility IDs unique</t>
  </si>
  <si>
    <t>C3.6, C4.4, C5.2, C5.3, C5.4, C5.5, C5.6, C5.7, C6.1</t>
  </si>
  <si>
    <t>DTC-01, DTC-02, DTC-03, DTC-05, DTC-10, DTC-12, CTY-03, CTY-05</t>
  </si>
  <si>
    <t>RER-07</t>
  </si>
  <si>
    <t>Joint development / collaboration agreement</t>
  </si>
  <si>
    <t>Owner &amp; Promoter</t>
  </si>
  <si>
    <t>If land is not owned by promoter</t>
  </si>
  <si>
    <t>Checklist Doc IDs unique</t>
  </si>
  <si>
    <t>C7.1</t>
  </si>
  <si>
    <t>DTCP Regional office (CMDA if inside Chennai Metro Area)</t>
  </si>
  <si>
    <t>RER-08</t>
  </si>
  <si>
    <t>Separate project bank account letter (70% rule)</t>
  </si>
  <si>
    <t>Bank</t>
  </si>
  <si>
    <t>Every applicable document mapped to a Task ID</t>
  </si>
  <si>
    <t>RER-09</t>
  </si>
  <si>
    <t>Project schedule and development works details</t>
  </si>
  <si>
    <t>Promoter / Engineer</t>
  </si>
  <si>
    <t>Document</t>
  </si>
  <si>
    <t>C7.3</t>
  </si>
  <si>
    <t>RER-10</t>
  </si>
  <si>
    <t>Mapped Task IDs exist in Approval Stages</t>
  </si>
  <si>
    <t>Proforma allotment letter and agreement for sale</t>
  </si>
  <si>
    <t>C8.1</t>
  </si>
  <si>
    <t>DTCP Regional office (CMDA if inside Chennai Metro Area) / City Corporation</t>
  </si>
  <si>
    <t>RER-11</t>
  </si>
  <si>
    <t>Declaration / affidavit (Form B)</t>
  </si>
  <si>
    <t>Promoter (notarised)</t>
  </si>
  <si>
    <t>DTC-15, CTY-11</t>
  </si>
  <si>
    <t>RER-12</t>
  </si>
  <si>
    <t>Register gift deed of roads and OSR to City Corporation</t>
  </si>
  <si>
    <t>Details of promoter's past projects (5 years)</t>
  </si>
  <si>
    <t>DTC-16, CTY-12, GFT-01, GFT-02, GFT-03, GFT-04, GFT-05, GFT-06, GFT-07, GFT-08, GFT-09, GFT-10</t>
  </si>
  <si>
    <t>RER-13</t>
  </si>
  <si>
    <t>Brochure / advertisement draft with RERA number placeholder</t>
  </si>
  <si>
    <t>C10.1</t>
  </si>
  <si>
    <t>No advertising before registration</t>
  </si>
  <si>
    <t>C10.2</t>
  </si>
  <si>
    <t>RER-14</t>
  </si>
  <si>
    <t>Registration fee receipt</t>
  </si>
  <si>
    <t>TNRERA portal</t>
  </si>
  <si>
    <t>C10.3</t>
  </si>
  <si>
    <t>C10.4</t>
  </si>
  <si>
    <t>Contractor / City Corporation</t>
  </si>
  <si>
    <t>RER-15</t>
  </si>
  <si>
    <t>TNRERA registration certificate</t>
  </si>
  <si>
    <t>C10.5</t>
  </si>
  <si>
    <t>Display number on all ads and site boards</t>
  </si>
  <si>
    <t>C10.1, C10.2, C10.3, C10.4, C10.5</t>
  </si>
  <si>
    <t>SAL-02</t>
  </si>
  <si>
    <t>Every checklist has at least one item</t>
  </si>
  <si>
    <t>SAL-01</t>
  </si>
  <si>
    <t>Approved layout copy with LP number</t>
  </si>
  <si>
    <t>City Corporation / DTCP Regional office (CMDA if inside Chennai Metro Area)</t>
  </si>
  <si>
    <t>CTY-14, SAL-02</t>
  </si>
  <si>
    <t>Share with buyer</t>
  </si>
  <si>
    <t>C11.2</t>
  </si>
  <si>
    <t>C13.2</t>
  </si>
  <si>
    <t>BDO / local body</t>
  </si>
  <si>
    <t>Users – at least one Admin</t>
  </si>
  <si>
    <t>SAL-03</t>
  </si>
  <si>
    <t>C13.1</t>
  </si>
  <si>
    <t>RERA registration number</t>
  </si>
  <si>
    <t>If project is RERA-registrable</t>
  </si>
  <si>
    <t>C11.1, C12.2</t>
  </si>
  <si>
    <t>Users – rows complete (name, email, mobile, role)</t>
  </si>
  <si>
    <t>SAL-04</t>
  </si>
  <si>
    <t>C13.3</t>
  </si>
  <si>
    <t>Parent title documents and latest EC</t>
  </si>
  <si>
    <t>C13.1, C13.2</t>
  </si>
  <si>
    <t>C13.4</t>
  </si>
  <si>
    <t>Plot sub-division / individual patta</t>
  </si>
  <si>
    <t>Users – emails unique</t>
  </si>
  <si>
    <t>SAL-06</t>
  </si>
  <si>
    <t>Buyer KYC – PAN, Aadhaar, photographs</t>
  </si>
  <si>
    <t>Buyer</t>
  </si>
  <si>
    <t>Users – mobiles are 10 digits</t>
  </si>
  <si>
    <t>SAL-07</t>
  </si>
  <si>
    <t>Booking form and booking amount receipt</t>
  </si>
  <si>
    <t>Valid for Booking Validity days (Additional Settings)</t>
  </si>
  <si>
    <t>Users – roles valid</t>
  </si>
  <si>
    <t>SAL-08</t>
  </si>
  <si>
    <t>Allotment letter</t>
  </si>
  <si>
    <t>SAL-09</t>
  </si>
  <si>
    <t>Agreement for sale</t>
  </si>
  <si>
    <t>SAL-10</t>
  </si>
  <si>
    <t>Promoter &amp; Buyer</t>
  </si>
  <si>
    <t>Instalment payment receipts</t>
  </si>
  <si>
    <t>Registered / Signed</t>
  </si>
  <si>
    <t>Instalment schedule per Additional Settings</t>
  </si>
  <si>
    <t>SAL-11</t>
  </si>
  <si>
    <t>Bank NOC / loan sanction letter</t>
  </si>
  <si>
    <t>Notification Groups – at least one active</t>
  </si>
  <si>
    <t>SAL-12</t>
  </si>
  <si>
    <t>TDS (1%) challan – Form 26QB</t>
  </si>
  <si>
    <t>Contact Number is 10 digits</t>
  </si>
  <si>
    <t>SAL-13</t>
  </si>
  <si>
    <t>If land mortgaged or buyer takes a loan</t>
  </si>
  <si>
    <t>SAL-14</t>
  </si>
  <si>
    <t>Registered sale deed</t>
  </si>
  <si>
    <t>SAL-15</t>
  </si>
  <si>
    <t>Possession / handover letter</t>
  </si>
  <si>
    <t>Facility unit costs are &gt; 0</t>
  </si>
  <si>
    <t>Patta transfer application / order</t>
  </si>
  <si>
    <t>If sale value ≥ ₹50 lakh (Sec. 194-IA)</t>
  </si>
  <si>
    <t>Buyer / SRO</t>
  </si>
  <si>
    <t>On guideline value or sale value, whichever is higher</t>
  </si>
  <si>
    <t>Overall status</t>
  </si>
  <si>
    <t>Within Sale Completion Window (Additional Settings)</t>
  </si>
  <si>
    <t>Receipt / Order</t>
  </si>
  <si>
    <t>Setting Type</t>
  </si>
  <si>
    <t>Setting Unit</t>
  </si>
  <si>
    <t>Tier Flag</t>
  </si>
  <si>
    <t>Yes/No</t>
  </si>
  <si>
    <t>Notification Type</t>
  </si>
  <si>
    <t>Admin</t>
  </si>
  <si>
    <t>Kerala</t>
  </si>
  <si>
    <t>Manager</t>
  </si>
  <si>
    <t>Opt</t>
  </si>
  <si>
    <t>Karnataka</t>
  </si>
  <si>
    <t>Sales</t>
  </si>
  <si>
    <t>Andhra Pradesh</t>
  </si>
  <si>
    <t>Accountant</t>
  </si>
  <si>
    <t>Town, City</t>
  </si>
  <si>
    <t>Telangana</t>
  </si>
  <si>
    <t>Puducherry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</si>
</sst>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₹#,##0"/>
  </numFmts>
  <fonts count="13">
    <font>
      <sz val="11.0"/>
      <color theme="1"/>
      <name val="Calibri"/>
      <scheme val="minor"/>
    </font>
    <font>
      <b/>
      <sz val="14.0"/>
      <color rgb="FF1F4E78"/>
      <name val="Arial"/>
    </font>
    <font>
      <b/>
      <sz val="14.0"/>
      <color theme="1"/>
      <name val="Arial"/>
    </font>
    <font>
      <i/>
      <sz val="9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rgb="FF0000FF"/>
      <name val="Arial"/>
    </font>
    <font>
      <i/>
      <sz val="10.0"/>
      <color rgb="FF808080"/>
      <name val="Arial"/>
    </font>
    <font>
      <color theme="1"/>
      <name val="Calibri"/>
      <scheme val="minor"/>
    </font>
    <font>
      <sz val="9.0"/>
      <color rgb="FF404040"/>
      <name val="Consolas"/>
    </font>
    <font>
      <sz val="10.0"/>
      <color rgb="FFA6A6A6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shrinkToFit="0" vertical="top" wrapText="0"/>
    </xf>
    <xf borderId="1" fillId="3" fontId="7" numFmtId="49" xfId="0" applyAlignment="1" applyBorder="1" applyFill="1" applyFont="1" applyNumberFormat="1">
      <alignment shrinkToFit="0" vertical="top" wrapText="0"/>
    </xf>
    <xf borderId="1" fillId="0" fontId="4" numFmtId="0" xfId="0" applyAlignment="1" applyBorder="1" applyFont="1">
      <alignment shrinkToFit="0" vertical="top" wrapText="1"/>
    </xf>
    <xf borderId="1" fillId="3" fontId="7" numFmtId="0" xfId="0" applyAlignment="1" applyBorder="1" applyFill="1" applyFont="1">
      <alignment shrinkToFit="0" vertical="top" wrapText="0"/>
    </xf>
    <xf borderId="1" fillId="0" fontId="8" numFmtId="0" xfId="0" applyAlignment="1" applyBorder="1" applyFont="1">
      <alignment shrinkToFit="0" vertical="top" wrapText="0"/>
    </xf>
    <xf borderId="1" fillId="3" fontId="7" numFmtId="0" xfId="0" applyAlignment="1" applyBorder="1" applyFill="1" applyFont="1">
      <alignment horizontal="center" shrinkToFit="0" vertical="top" wrapText="0"/>
    </xf>
    <xf borderId="1" fillId="3" fontId="7" numFmtId="0" xfId="0" applyAlignment="1" applyBorder="1" applyFill="1" applyFont="1">
      <alignment shrinkToFit="0" vertical="top" wrapText="1"/>
    </xf>
    <xf borderId="0" fillId="0" fontId="9" numFmtId="0" xfId="0" applyFont="1"/>
    <xf borderId="1" fillId="4" fontId="4" numFmtId="0" xfId="0" applyAlignment="1" applyBorder="1" applyFill="1" applyFont="1">
      <alignment horizontal="center" shrinkToFit="0" vertical="top" wrapText="0"/>
    </xf>
    <xf borderId="1" fillId="0" fontId="8" numFmtId="0" xfId="0" applyAlignment="1" applyBorder="1" applyFont="1">
      <alignment shrinkToFit="0" vertical="top" wrapText="1"/>
    </xf>
    <xf borderId="1" fillId="2" fontId="5" numFmtId="0" xfId="0" applyAlignment="1" applyBorder="1" applyFill="1" applyFont="1">
      <alignment horizontal="left" shrinkToFit="0" vertical="bottom" wrapText="0"/>
    </xf>
    <xf borderId="1" fillId="3" fontId="7" numFmtId="49" xfId="0" applyAlignment="1" applyBorder="1" applyFill="1" applyFont="1" applyNumberFormat="1">
      <alignment horizontal="center" shrinkToFit="0" vertical="top" wrapText="0"/>
    </xf>
    <xf borderId="1" fillId="0" fontId="10" numFmtId="0" xfId="0" applyAlignment="1" applyBorder="1" applyFont="1">
      <alignment shrinkToFit="0" vertical="top" wrapText="0"/>
    </xf>
    <xf borderId="1" fillId="3" fontId="7" numFmtId="164" xfId="0" applyAlignment="1" applyBorder="1" applyFill="1" applyFont="1" applyNumberFormat="1">
      <alignment shrinkToFit="0" vertical="top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horizontal="center" shrinkToFit="0" vertical="top" wrapText="0"/>
    </xf>
    <xf borderId="0" fillId="0" fontId="12" numFmtId="0" xfId="0" applyAlignment="1" applyFont="1">
      <alignment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1" fillId="2" fontId="5" numFmtId="0" xfId="0" applyAlignment="1" applyBorder="1" applyFill="1" applyFont="1">
      <alignment horizontal="center" shrinkToFit="0" vertical="bottom" wrapText="1"/>
    </xf>
    <xf borderId="1" fillId="0" fontId="12" numFmtId="0" xfId="0" applyAlignment="1" applyBorder="1" applyFont="1">
      <alignment shrinkToFit="0" vertical="bottom" wrapText="0"/>
    </xf>
    <xf borderId="2" fillId="2" fontId="5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>
        <color rgb="FFBFBFBF"/>
      </font>
      <fill>
        <patternFill patternType="none"/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2" t="s">
        <v>3</v>
      </c>
    </row>
    <row r="2">
      <c r="A2" s="4"/>
    </row>
    <row r="3">
      <c r="A3" s="4" t="s">
        <v>7</v>
      </c>
    </row>
    <row r="4">
      <c r="A4" s="4"/>
    </row>
    <row r="5">
      <c r="A5" s="6" t="s">
        <v>8</v>
      </c>
    </row>
    <row r="6">
      <c r="A6" s="4" t="s">
        <v>16</v>
      </c>
    </row>
    <row r="7">
      <c r="A7" s="4" t="s">
        <v>21</v>
      </c>
    </row>
    <row r="8">
      <c r="A8" s="4" t="s">
        <v>24</v>
      </c>
    </row>
    <row r="9">
      <c r="A9" s="4" t="s">
        <v>25</v>
      </c>
    </row>
    <row r="10">
      <c r="A10" s="4" t="s">
        <v>26</v>
      </c>
    </row>
    <row r="11">
      <c r="A11" s="4" t="s">
        <v>28</v>
      </c>
    </row>
    <row r="12">
      <c r="A12" s="4" t="s">
        <v>30</v>
      </c>
    </row>
    <row r="13">
      <c r="A13" s="4" t="s">
        <v>32</v>
      </c>
    </row>
    <row r="14">
      <c r="A14" s="4" t="s">
        <v>33</v>
      </c>
    </row>
    <row r="15">
      <c r="A15" s="4" t="s">
        <v>34</v>
      </c>
    </row>
    <row r="16">
      <c r="A16" s="4"/>
    </row>
    <row r="17">
      <c r="A17" s="6" t="s">
        <v>35</v>
      </c>
    </row>
    <row r="18">
      <c r="A18" s="4" t="s">
        <v>36</v>
      </c>
    </row>
    <row r="19">
      <c r="A19" s="4" t="s">
        <v>38</v>
      </c>
    </row>
    <row r="20">
      <c r="A20" s="4" t="s">
        <v>39</v>
      </c>
    </row>
    <row r="21" ht="15.75" customHeight="1">
      <c r="A21" s="4" t="s">
        <v>42</v>
      </c>
    </row>
    <row r="22" ht="15.75" customHeight="1">
      <c r="A22" s="4" t="s">
        <v>44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18.0"/>
    <col customWidth="1" min="4" max="4" width="40.0"/>
    <col customWidth="1" min="5" max="5" width="10.0"/>
    <col customWidth="1" min="6" max="6" width="11.0"/>
    <col customWidth="1" min="7" max="7" width="44.0"/>
    <col customWidth="1" min="8" max="8" width="34.0"/>
    <col customWidth="1" min="9" max="26" width="8.71"/>
  </cols>
  <sheetData>
    <row r="1">
      <c r="A1" s="1" t="s">
        <v>0</v>
      </c>
    </row>
    <row r="2">
      <c r="A2" s="3" t="s">
        <v>4</v>
      </c>
    </row>
    <row r="4">
      <c r="A4" s="5" t="s">
        <v>6</v>
      </c>
      <c r="B4" s="5" t="s">
        <v>10</v>
      </c>
      <c r="C4" s="5" t="s">
        <v>12</v>
      </c>
      <c r="D4" s="5" t="s">
        <v>15</v>
      </c>
      <c r="E4" s="5" t="s">
        <v>18</v>
      </c>
      <c r="F4" s="5" t="s">
        <v>20</v>
      </c>
      <c r="G4" s="5" t="s">
        <v>22</v>
      </c>
      <c r="H4" s="5" t="s">
        <v>23</v>
      </c>
    </row>
    <row r="5">
      <c r="A5" s="7">
        <v>1.0</v>
      </c>
      <c r="B5" s="8" t="s">
        <v>27</v>
      </c>
      <c r="C5" s="8" t="s">
        <v>31</v>
      </c>
      <c r="D5" s="9"/>
      <c r="E5" s="7" t="s">
        <v>41</v>
      </c>
      <c r="F5" s="7" t="s">
        <v>43</v>
      </c>
      <c r="G5" s="10" t="s">
        <v>45</v>
      </c>
      <c r="H5" s="12" t="s">
        <v>47</v>
      </c>
    </row>
    <row r="6">
      <c r="A6" s="7">
        <v>2.0</v>
      </c>
      <c r="B6" s="8" t="s">
        <v>27</v>
      </c>
      <c r="C6" s="8" t="s">
        <v>48</v>
      </c>
      <c r="D6" s="9"/>
      <c r="E6" s="7" t="s">
        <v>49</v>
      </c>
      <c r="F6" s="7" t="s">
        <v>50</v>
      </c>
      <c r="G6" s="10" t="s">
        <v>52</v>
      </c>
      <c r="H6" s="12" t="s">
        <v>53</v>
      </c>
    </row>
    <row r="7">
      <c r="A7" s="7">
        <v>3.0</v>
      </c>
      <c r="B7" s="8" t="s">
        <v>54</v>
      </c>
      <c r="C7" s="8" t="s">
        <v>55</v>
      </c>
      <c r="D7" s="9"/>
      <c r="E7" s="7" t="s">
        <v>41</v>
      </c>
      <c r="F7" s="7" t="s">
        <v>43</v>
      </c>
      <c r="G7" s="10" t="s">
        <v>57</v>
      </c>
      <c r="H7" s="12" t="s">
        <v>58</v>
      </c>
    </row>
    <row r="8">
      <c r="A8" s="7">
        <v>4.0</v>
      </c>
      <c r="B8" s="8" t="s">
        <v>54</v>
      </c>
      <c r="C8" s="8" t="s">
        <v>59</v>
      </c>
      <c r="D8" s="9"/>
      <c r="E8" s="7" t="s">
        <v>49</v>
      </c>
      <c r="F8" s="7" t="s">
        <v>43</v>
      </c>
      <c r="G8" s="10" t="s">
        <v>60</v>
      </c>
      <c r="H8" s="12" t="s">
        <v>61</v>
      </c>
    </row>
    <row r="9">
      <c r="A9" s="7">
        <v>5.0</v>
      </c>
      <c r="B9" s="8" t="s">
        <v>54</v>
      </c>
      <c r="C9" s="8" t="s">
        <v>63</v>
      </c>
      <c r="D9" s="9"/>
      <c r="E9" s="7" t="s">
        <v>49</v>
      </c>
      <c r="F9" s="7" t="s">
        <v>43</v>
      </c>
      <c r="G9" s="10" t="s">
        <v>64</v>
      </c>
      <c r="H9" s="12" t="s">
        <v>65</v>
      </c>
    </row>
    <row r="10">
      <c r="A10" s="7">
        <v>6.0</v>
      </c>
      <c r="B10" s="8" t="s">
        <v>54</v>
      </c>
      <c r="C10" s="8" t="s">
        <v>67</v>
      </c>
      <c r="D10" s="9"/>
      <c r="E10" s="7" t="s">
        <v>41</v>
      </c>
      <c r="F10" s="7" t="s">
        <v>43</v>
      </c>
      <c r="G10" s="10" t="s">
        <v>68</v>
      </c>
      <c r="H10" s="12" t="s">
        <v>69</v>
      </c>
    </row>
    <row r="11">
      <c r="A11" s="7">
        <v>7.0</v>
      </c>
      <c r="B11" s="8" t="s">
        <v>54</v>
      </c>
      <c r="C11" s="8" t="s">
        <v>70</v>
      </c>
      <c r="D11" s="9"/>
      <c r="E11" s="7" t="s">
        <v>41</v>
      </c>
      <c r="F11" s="7" t="s">
        <v>43</v>
      </c>
      <c r="G11" s="10" t="s">
        <v>72</v>
      </c>
      <c r="H11" s="12" t="s">
        <v>69</v>
      </c>
    </row>
    <row r="12">
      <c r="A12" s="7">
        <v>8.0</v>
      </c>
      <c r="B12" s="8" t="s">
        <v>54</v>
      </c>
      <c r="C12" s="8" t="s">
        <v>73</v>
      </c>
      <c r="D12" s="9"/>
      <c r="E12" s="7" t="s">
        <v>41</v>
      </c>
      <c r="F12" s="7" t="s">
        <v>78</v>
      </c>
      <c r="G12" s="10" t="s">
        <v>79</v>
      </c>
      <c r="H12" s="12" t="s">
        <v>80</v>
      </c>
    </row>
    <row r="13">
      <c r="A13" s="7">
        <v>9.0</v>
      </c>
      <c r="B13" s="8" t="s">
        <v>54</v>
      </c>
      <c r="C13" s="8" t="s">
        <v>81</v>
      </c>
      <c r="D13" s="9"/>
      <c r="E13" s="7" t="s">
        <v>41</v>
      </c>
      <c r="F13" s="7" t="s">
        <v>83</v>
      </c>
      <c r="G13" s="10" t="s">
        <v>84</v>
      </c>
      <c r="H13" s="12" t="s">
        <v>85</v>
      </c>
    </row>
    <row r="14">
      <c r="A14" s="7">
        <v>10.0</v>
      </c>
      <c r="B14" s="8" t="s">
        <v>86</v>
      </c>
      <c r="C14" s="8" t="s">
        <v>88</v>
      </c>
      <c r="D14" s="9"/>
      <c r="E14" s="7" t="s">
        <v>41</v>
      </c>
      <c r="F14" s="7" t="s">
        <v>91</v>
      </c>
      <c r="G14" s="10" t="s">
        <v>92</v>
      </c>
      <c r="H14" s="12" t="s">
        <v>93</v>
      </c>
    </row>
    <row r="15">
      <c r="A15" s="7">
        <v>11.0</v>
      </c>
      <c r="B15" s="8" t="s">
        <v>86</v>
      </c>
      <c r="C15" s="8" t="s">
        <v>94</v>
      </c>
      <c r="D15" s="9"/>
      <c r="E15" s="7" t="s">
        <v>49</v>
      </c>
      <c r="F15" s="7" t="s">
        <v>91</v>
      </c>
      <c r="G15" s="10" t="s">
        <v>96</v>
      </c>
      <c r="H15" s="12" t="s">
        <v>97</v>
      </c>
    </row>
    <row r="16">
      <c r="A16" s="7">
        <v>12.0</v>
      </c>
      <c r="B16" s="8" t="s">
        <v>99</v>
      </c>
      <c r="C16" s="8" t="s">
        <v>100</v>
      </c>
      <c r="D16" s="9"/>
      <c r="E16" s="7" t="s">
        <v>49</v>
      </c>
      <c r="F16" s="7" t="s">
        <v>101</v>
      </c>
      <c r="G16" s="10" t="s">
        <v>102</v>
      </c>
      <c r="H16" s="12" t="s">
        <v>103</v>
      </c>
    </row>
    <row r="17">
      <c r="A17" s="7">
        <v>13.0</v>
      </c>
      <c r="B17" s="8" t="s">
        <v>99</v>
      </c>
      <c r="C17" s="8" t="s">
        <v>105</v>
      </c>
      <c r="D17" s="9"/>
      <c r="E17" s="7" t="s">
        <v>49</v>
      </c>
      <c r="F17" s="7" t="s">
        <v>101</v>
      </c>
      <c r="G17" s="10" t="s">
        <v>106</v>
      </c>
      <c r="H17" s="12" t="s">
        <v>107</v>
      </c>
    </row>
    <row r="18">
      <c r="A18" s="7">
        <v>14.0</v>
      </c>
      <c r="B18" s="8" t="s">
        <v>99</v>
      </c>
      <c r="C18" s="8" t="s">
        <v>109</v>
      </c>
      <c r="D18" s="9"/>
      <c r="E18" s="7" t="s">
        <v>49</v>
      </c>
      <c r="F18" s="7" t="s">
        <v>101</v>
      </c>
      <c r="G18" s="10" t="s">
        <v>110</v>
      </c>
      <c r="H18" s="12" t="s">
        <v>111</v>
      </c>
    </row>
    <row r="19">
      <c r="A19" s="7">
        <v>15.0</v>
      </c>
      <c r="B19" s="8" t="s">
        <v>99</v>
      </c>
      <c r="C19" s="8" t="s">
        <v>112</v>
      </c>
      <c r="D19" s="9"/>
      <c r="E19" s="7" t="s">
        <v>49</v>
      </c>
      <c r="F19" s="7" t="s">
        <v>101</v>
      </c>
      <c r="G19" s="10" t="s">
        <v>114</v>
      </c>
      <c r="H19" s="12" t="s">
        <v>115</v>
      </c>
    </row>
    <row r="20">
      <c r="A20" s="7">
        <v>16.0</v>
      </c>
      <c r="B20" s="8" t="s">
        <v>99</v>
      </c>
      <c r="C20" s="8" t="s">
        <v>117</v>
      </c>
      <c r="D20" s="9"/>
      <c r="E20" s="7" t="s">
        <v>49</v>
      </c>
      <c r="F20" s="7" t="s">
        <v>101</v>
      </c>
      <c r="G20" s="10" t="s">
        <v>119</v>
      </c>
      <c r="H20" s="12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5:D20">
    <cfRule type="expression" dxfId="0" priority="1">
      <formula>AND($E5="Yes",$D5="")</formula>
    </cfRule>
  </conditionalFormatting>
  <dataValidations>
    <dataValidation type="custom" allowBlank="1" sqref="D13">
      <formula1>AND(LEN(D13)=6,ISNUMBER(--D13))</formula1>
    </dataValidation>
    <dataValidation type="list" allowBlank="1" sqref="D12">
      <formula1>Lists!$I$2:$I$7</formula1>
    </dataValidation>
    <dataValidation type="custom" allowBlank="1" sqref="D14">
      <formula1>AND(LEN(D14)=10,ISNUMBER(--D14))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6.0"/>
    <col customWidth="1" min="4" max="4" width="12.0"/>
    <col customWidth="1" min="5" max="5" width="11.0"/>
    <col customWidth="1" min="6" max="6" width="12.0"/>
    <col customWidth="1" min="7" max="7" width="60.0"/>
    <col customWidth="1" min="8" max="26" width="8.71"/>
  </cols>
  <sheetData>
    <row r="1">
      <c r="A1" s="1" t="s">
        <v>1</v>
      </c>
    </row>
    <row r="2">
      <c r="A2" s="3" t="s">
        <v>5</v>
      </c>
    </row>
    <row r="4">
      <c r="A4" s="5" t="s">
        <v>6</v>
      </c>
      <c r="B4" s="5" t="s">
        <v>9</v>
      </c>
      <c r="C4" s="5" t="s">
        <v>11</v>
      </c>
      <c r="D4" s="5" t="s">
        <v>13</v>
      </c>
      <c r="E4" s="5" t="s">
        <v>14</v>
      </c>
      <c r="F4" s="5" t="s">
        <v>17</v>
      </c>
      <c r="G4" s="5" t="s">
        <v>19</v>
      </c>
    </row>
    <row r="5">
      <c r="A5" s="7">
        <v>1.0</v>
      </c>
      <c r="B5" s="7" t="s">
        <v>51</v>
      </c>
      <c r="C5" s="8" t="s">
        <v>56</v>
      </c>
      <c r="D5" s="7" t="s">
        <v>62</v>
      </c>
      <c r="E5" s="11" t="s">
        <v>82</v>
      </c>
      <c r="F5" s="16"/>
      <c r="G5" s="17" t="s">
        <v>87</v>
      </c>
    </row>
    <row r="6">
      <c r="A6" s="7">
        <v>2.0</v>
      </c>
      <c r="B6" s="7" t="s">
        <v>51</v>
      </c>
      <c r="C6" s="8" t="s">
        <v>89</v>
      </c>
      <c r="D6" s="7" t="s">
        <v>90</v>
      </c>
      <c r="E6" s="11">
        <v>55.0</v>
      </c>
      <c r="F6" s="16"/>
      <c r="G6" s="17" t="s">
        <v>95</v>
      </c>
    </row>
    <row r="7">
      <c r="A7" s="7">
        <v>3.0</v>
      </c>
      <c r="B7" s="7" t="s">
        <v>51</v>
      </c>
      <c r="C7" s="8" t="s">
        <v>98</v>
      </c>
      <c r="D7" s="7" t="s">
        <v>90</v>
      </c>
      <c r="E7" s="11">
        <v>0.5</v>
      </c>
      <c r="F7" s="16"/>
      <c r="G7" s="17" t="s">
        <v>104</v>
      </c>
    </row>
    <row r="8">
      <c r="A8" s="7">
        <v>4.0</v>
      </c>
      <c r="B8" s="7" t="s">
        <v>51</v>
      </c>
      <c r="C8" s="8" t="s">
        <v>108</v>
      </c>
      <c r="D8" s="7" t="s">
        <v>90</v>
      </c>
      <c r="E8" s="11">
        <v>80.0</v>
      </c>
      <c r="F8" s="16"/>
      <c r="G8" s="17" t="s">
        <v>113</v>
      </c>
    </row>
    <row r="9">
      <c r="A9" s="7">
        <v>5.0</v>
      </c>
      <c r="B9" s="7" t="s">
        <v>51</v>
      </c>
      <c r="C9" s="8" t="s">
        <v>116</v>
      </c>
      <c r="D9" s="7" t="s">
        <v>118</v>
      </c>
      <c r="E9" s="11">
        <v>7.0</v>
      </c>
      <c r="F9" s="16"/>
      <c r="G9" s="17" t="s">
        <v>121</v>
      </c>
    </row>
    <row r="10">
      <c r="A10" s="7">
        <v>6.0</v>
      </c>
      <c r="B10" s="7" t="s">
        <v>51</v>
      </c>
      <c r="C10" s="8" t="s">
        <v>122</v>
      </c>
      <c r="D10" s="7" t="s">
        <v>118</v>
      </c>
      <c r="E10" s="11">
        <v>15.0</v>
      </c>
      <c r="F10" s="16"/>
      <c r="G10" s="17" t="s">
        <v>123</v>
      </c>
    </row>
    <row r="11">
      <c r="A11" s="7">
        <v>7.0</v>
      </c>
      <c r="B11" s="7" t="s">
        <v>51</v>
      </c>
      <c r="C11" s="8" t="s">
        <v>124</v>
      </c>
      <c r="D11" s="7" t="s">
        <v>125</v>
      </c>
      <c r="E11" s="11">
        <v>3.0</v>
      </c>
      <c r="F11" s="16"/>
      <c r="G11" s="17" t="s">
        <v>126</v>
      </c>
    </row>
    <row r="12">
      <c r="A12" s="7">
        <v>8.0</v>
      </c>
      <c r="B12" s="7" t="s">
        <v>127</v>
      </c>
      <c r="C12" s="8" t="s">
        <v>128</v>
      </c>
      <c r="D12" s="7" t="s">
        <v>90</v>
      </c>
      <c r="E12" s="11">
        <v>30.0</v>
      </c>
      <c r="F12" s="13">
        <v>0.0</v>
      </c>
      <c r="G12" s="17" t="s">
        <v>129</v>
      </c>
    </row>
    <row r="13">
      <c r="A13" s="7">
        <v>9.0</v>
      </c>
      <c r="B13" s="7" t="s">
        <v>127</v>
      </c>
      <c r="C13" s="8" t="s">
        <v>130</v>
      </c>
      <c r="D13" s="7" t="s">
        <v>90</v>
      </c>
      <c r="E13" s="11">
        <v>60.0</v>
      </c>
      <c r="F13" s="13">
        <v>7.0</v>
      </c>
      <c r="G13" s="17" t="s">
        <v>131</v>
      </c>
    </row>
    <row r="14">
      <c r="A14" s="7">
        <v>10.0</v>
      </c>
      <c r="B14" s="7" t="s">
        <v>127</v>
      </c>
      <c r="C14" s="8" t="s">
        <v>132</v>
      </c>
      <c r="D14" s="7" t="s">
        <v>90</v>
      </c>
      <c r="E14" s="11">
        <v>10.0</v>
      </c>
      <c r="F14" s="13">
        <v>13.0</v>
      </c>
      <c r="G14" s="17" t="s">
        <v>133</v>
      </c>
    </row>
    <row r="15">
      <c r="B15" s="15"/>
      <c r="D15" s="15"/>
      <c r="E15" s="15"/>
      <c r="F15" s="15"/>
    </row>
    <row r="16">
      <c r="B16" s="15"/>
      <c r="D16" s="15"/>
      <c r="E16" s="15"/>
      <c r="F16" s="15"/>
    </row>
    <row r="17">
      <c r="B17" s="15"/>
      <c r="D17" s="15"/>
      <c r="E17" s="15"/>
      <c r="F17" s="15"/>
    </row>
    <row r="18">
      <c r="B18" s="15"/>
      <c r="D18" s="15"/>
      <c r="E18" s="15"/>
      <c r="F18" s="15"/>
    </row>
    <row r="19">
      <c r="B19" s="15"/>
      <c r="D19" s="15"/>
      <c r="E19" s="15"/>
      <c r="F19" s="15"/>
    </row>
    <row r="20">
      <c r="B20" s="15"/>
      <c r="D20" s="15"/>
      <c r="E20" s="15"/>
      <c r="F20" s="15"/>
    </row>
    <row r="21" ht="15.75" customHeight="1">
      <c r="B21" s="15"/>
      <c r="D21" s="15"/>
      <c r="E21" s="15"/>
      <c r="F21" s="15"/>
    </row>
    <row r="22" ht="15.75" customHeight="1">
      <c r="B22" s="15"/>
      <c r="D22" s="15"/>
      <c r="E22" s="15"/>
      <c r="F22" s="15"/>
    </row>
    <row r="23" ht="15.75" customHeight="1">
      <c r="B23" s="15"/>
      <c r="D23" s="15"/>
      <c r="E23" s="15"/>
      <c r="F23" s="15"/>
    </row>
    <row r="24" ht="15.75" customHeight="1">
      <c r="B24" s="15"/>
      <c r="D24" s="15"/>
      <c r="E24" s="15"/>
      <c r="F24" s="15"/>
    </row>
    <row r="25" ht="15.75" customHeight="1">
      <c r="B25" s="15"/>
      <c r="D25" s="15"/>
      <c r="E25" s="15"/>
      <c r="F25" s="15"/>
    </row>
    <row r="26" ht="15.75" customHeight="1">
      <c r="B26" s="15"/>
      <c r="D26" s="15"/>
      <c r="E26" s="15"/>
      <c r="F26" s="15"/>
    </row>
    <row r="27" ht="15.75" customHeight="1">
      <c r="B27" s="15"/>
      <c r="D27" s="15"/>
      <c r="E27" s="15"/>
      <c r="F27" s="15"/>
    </row>
    <row r="28" ht="15.75" customHeight="1">
      <c r="B28" s="15"/>
      <c r="D28" s="15"/>
      <c r="E28" s="15"/>
      <c r="F28" s="15"/>
    </row>
    <row r="29" ht="15.75" customHeight="1">
      <c r="B29" s="15"/>
      <c r="D29" s="15"/>
      <c r="E29" s="15"/>
      <c r="F29" s="15"/>
    </row>
    <row r="30" ht="15.75" customHeight="1">
      <c r="B30" s="15"/>
      <c r="D30" s="15"/>
      <c r="E30" s="15"/>
      <c r="F30" s="15"/>
    </row>
    <row r="31" ht="15.75" customHeight="1">
      <c r="B31" s="15"/>
      <c r="D31" s="15"/>
      <c r="E31" s="15"/>
      <c r="F31" s="15"/>
    </row>
    <row r="32" ht="15.75" customHeight="1">
      <c r="B32" s="15"/>
      <c r="D32" s="15"/>
      <c r="E32" s="15"/>
      <c r="F32" s="15"/>
    </row>
    <row r="33" ht="15.75" customHeight="1">
      <c r="B33" s="15"/>
      <c r="D33" s="15"/>
      <c r="E33" s="15"/>
      <c r="F33" s="15"/>
    </row>
    <row r="34" ht="15.75" customHeight="1">
      <c r="B34" s="15"/>
      <c r="D34" s="15"/>
      <c r="E34" s="15"/>
      <c r="F34" s="15"/>
    </row>
    <row r="35" ht="15.75" customHeight="1">
      <c r="B35" s="15"/>
      <c r="D35" s="15"/>
      <c r="E35" s="15"/>
      <c r="F35" s="15"/>
    </row>
    <row r="36" ht="15.75" customHeight="1">
      <c r="B36" s="15"/>
      <c r="D36" s="15"/>
      <c r="E36" s="15"/>
      <c r="F36" s="15"/>
    </row>
    <row r="37" ht="15.75" customHeight="1">
      <c r="B37" s="15"/>
      <c r="D37" s="15"/>
      <c r="E37" s="15"/>
      <c r="F37" s="15"/>
    </row>
    <row r="38" ht="15.75" customHeight="1">
      <c r="B38" s="15"/>
      <c r="D38" s="15"/>
      <c r="E38" s="15"/>
      <c r="F38" s="15"/>
    </row>
    <row r="39" ht="15.75" customHeight="1">
      <c r="B39" s="15"/>
      <c r="D39" s="15"/>
      <c r="E39" s="15"/>
      <c r="F39" s="15"/>
    </row>
    <row r="40" ht="15.75" customHeight="1">
      <c r="B40" s="15"/>
      <c r="D40" s="15"/>
      <c r="E40" s="15"/>
      <c r="F40" s="15"/>
    </row>
    <row r="41" ht="15.75" customHeight="1">
      <c r="B41" s="15"/>
      <c r="D41" s="15"/>
      <c r="E41" s="15"/>
      <c r="F41" s="15"/>
    </row>
    <row r="42" ht="15.75" customHeight="1">
      <c r="B42" s="15"/>
      <c r="D42" s="15"/>
      <c r="E42" s="15"/>
      <c r="F42" s="15"/>
    </row>
    <row r="43" ht="15.75" customHeight="1">
      <c r="B43" s="15"/>
      <c r="D43" s="15"/>
      <c r="E43" s="15"/>
      <c r="F43" s="15"/>
    </row>
    <row r="44" ht="15.75" customHeight="1">
      <c r="B44" s="15"/>
      <c r="D44" s="15"/>
      <c r="E44" s="15"/>
      <c r="F44" s="15"/>
    </row>
    <row r="45" ht="15.75" customHeight="1">
      <c r="B45" s="15"/>
      <c r="D45" s="15"/>
      <c r="E45" s="15"/>
      <c r="F45" s="15"/>
    </row>
    <row r="46" ht="15.75" customHeight="1">
      <c r="B46" s="15"/>
      <c r="D46" s="15"/>
      <c r="E46" s="15"/>
      <c r="F46" s="15"/>
    </row>
    <row r="47" ht="15.75" customHeight="1">
      <c r="B47" s="15"/>
      <c r="D47" s="15"/>
      <c r="E47" s="15"/>
      <c r="F47" s="15"/>
    </row>
    <row r="48" ht="15.75" customHeight="1">
      <c r="B48" s="15"/>
      <c r="D48" s="15"/>
      <c r="E48" s="15"/>
      <c r="F48" s="15"/>
    </row>
    <row r="49" ht="15.75" customHeight="1">
      <c r="B49" s="15"/>
      <c r="D49" s="15"/>
      <c r="E49" s="15"/>
      <c r="F49" s="15"/>
    </row>
    <row r="50" ht="15.75" customHeight="1">
      <c r="B50" s="15"/>
      <c r="D50" s="15"/>
      <c r="E50" s="15"/>
      <c r="F50" s="15"/>
    </row>
    <row r="51" ht="15.75" customHeight="1">
      <c r="B51" s="15"/>
      <c r="D51" s="15"/>
      <c r="E51" s="15"/>
      <c r="F51" s="15"/>
    </row>
    <row r="52" ht="15.75" customHeight="1">
      <c r="B52" s="15"/>
      <c r="D52" s="15"/>
      <c r="E52" s="15"/>
      <c r="F52" s="15"/>
    </row>
    <row r="53" ht="15.75" customHeight="1">
      <c r="B53" s="15"/>
      <c r="D53" s="15"/>
      <c r="E53" s="15"/>
      <c r="F53" s="15"/>
    </row>
    <row r="54" ht="15.75" customHeight="1">
      <c r="B54" s="15"/>
      <c r="D54" s="15"/>
      <c r="E54" s="15"/>
      <c r="F54" s="15"/>
    </row>
    <row r="55" ht="15.75" customHeight="1">
      <c r="B55" s="15"/>
      <c r="D55" s="15"/>
      <c r="E55" s="15"/>
      <c r="F55" s="15"/>
    </row>
    <row r="56" ht="15.75" customHeight="1">
      <c r="B56" s="15"/>
      <c r="D56" s="15"/>
      <c r="E56" s="15"/>
      <c r="F56" s="15"/>
    </row>
    <row r="57" ht="15.75" customHeight="1">
      <c r="B57" s="15"/>
      <c r="D57" s="15"/>
      <c r="E57" s="15"/>
      <c r="F57" s="15"/>
    </row>
    <row r="58" ht="15.75" customHeight="1">
      <c r="B58" s="15"/>
      <c r="D58" s="15"/>
      <c r="E58" s="15"/>
      <c r="F58" s="15"/>
    </row>
    <row r="59" ht="15.75" customHeight="1">
      <c r="B59" s="15"/>
      <c r="D59" s="15"/>
      <c r="E59" s="15"/>
      <c r="F59" s="15"/>
    </row>
    <row r="60" ht="15.75" customHeight="1">
      <c r="B60" s="15"/>
      <c r="D60" s="15"/>
      <c r="E60" s="15"/>
      <c r="F60" s="15"/>
    </row>
    <row r="61" ht="15.75" customHeight="1">
      <c r="B61" s="15"/>
      <c r="D61" s="15"/>
      <c r="E61" s="15"/>
      <c r="F61" s="15"/>
    </row>
    <row r="62" ht="15.75" customHeight="1">
      <c r="B62" s="15"/>
      <c r="D62" s="15"/>
      <c r="E62" s="15"/>
      <c r="F62" s="15"/>
    </row>
    <row r="63" ht="15.75" customHeight="1">
      <c r="B63" s="15"/>
      <c r="D63" s="15"/>
      <c r="E63" s="15"/>
      <c r="F63" s="15"/>
    </row>
    <row r="64" ht="15.75" customHeight="1">
      <c r="B64" s="15"/>
      <c r="D64" s="15"/>
      <c r="E64" s="15"/>
      <c r="F64" s="15"/>
    </row>
    <row r="65" ht="15.75" customHeight="1">
      <c r="B65" s="15"/>
      <c r="D65" s="15"/>
      <c r="E65" s="15"/>
      <c r="F65" s="15"/>
    </row>
    <row r="66" ht="15.75" customHeight="1">
      <c r="B66" s="15"/>
      <c r="D66" s="15"/>
      <c r="E66" s="15"/>
      <c r="F66" s="15"/>
    </row>
    <row r="67" ht="15.75" customHeight="1">
      <c r="B67" s="15"/>
      <c r="D67" s="15"/>
      <c r="E67" s="15"/>
      <c r="F67" s="15"/>
    </row>
    <row r="68" ht="15.75" customHeight="1">
      <c r="B68" s="15"/>
      <c r="D68" s="15"/>
      <c r="E68" s="15"/>
      <c r="F68" s="15"/>
    </row>
    <row r="69" ht="15.75" customHeight="1">
      <c r="B69" s="15"/>
      <c r="D69" s="15"/>
      <c r="E69" s="15"/>
      <c r="F69" s="15"/>
    </row>
    <row r="70" ht="15.75" customHeight="1">
      <c r="B70" s="15"/>
      <c r="D70" s="15"/>
      <c r="E70" s="15"/>
      <c r="F70" s="15"/>
    </row>
    <row r="71" ht="15.75" customHeight="1">
      <c r="B71" s="15"/>
      <c r="D71" s="15"/>
      <c r="E71" s="15"/>
      <c r="F71" s="15"/>
    </row>
    <row r="72" ht="15.75" customHeight="1">
      <c r="B72" s="15"/>
      <c r="D72" s="15"/>
      <c r="E72" s="15"/>
      <c r="F72" s="15"/>
    </row>
    <row r="73" ht="15.75" customHeight="1">
      <c r="B73" s="15"/>
      <c r="D73" s="15"/>
      <c r="E73" s="15"/>
      <c r="F73" s="15"/>
    </row>
    <row r="74" ht="15.75" customHeight="1">
      <c r="B74" s="15"/>
      <c r="D74" s="15"/>
      <c r="E74" s="15"/>
      <c r="F74" s="15"/>
    </row>
    <row r="75" ht="15.75" customHeight="1">
      <c r="B75" s="15"/>
      <c r="D75" s="15"/>
      <c r="E75" s="15"/>
      <c r="F75" s="15"/>
    </row>
    <row r="76" ht="15.75" customHeight="1">
      <c r="B76" s="15"/>
      <c r="D76" s="15"/>
      <c r="E76" s="15"/>
      <c r="F76" s="15"/>
    </row>
    <row r="77" ht="15.75" customHeight="1">
      <c r="B77" s="15"/>
      <c r="D77" s="15"/>
      <c r="E77" s="15"/>
      <c r="F77" s="15"/>
    </row>
    <row r="78" ht="15.75" customHeight="1">
      <c r="B78" s="15"/>
      <c r="D78" s="15"/>
      <c r="E78" s="15"/>
      <c r="F78" s="15"/>
    </row>
    <row r="79" ht="15.75" customHeight="1">
      <c r="B79" s="15"/>
      <c r="D79" s="15"/>
      <c r="E79" s="15"/>
      <c r="F79" s="15"/>
    </row>
    <row r="80" ht="15.75" customHeight="1">
      <c r="B80" s="15"/>
      <c r="D80" s="15"/>
      <c r="E80" s="15"/>
      <c r="F80" s="15"/>
    </row>
    <row r="81" ht="15.75" customHeight="1">
      <c r="B81" s="15"/>
      <c r="D81" s="15"/>
      <c r="E81" s="15"/>
      <c r="F81" s="15"/>
    </row>
    <row r="82" ht="15.75" customHeight="1">
      <c r="B82" s="15"/>
      <c r="D82" s="15"/>
      <c r="E82" s="15"/>
      <c r="F82" s="15"/>
    </row>
    <row r="83" ht="15.75" customHeight="1">
      <c r="B83" s="15"/>
      <c r="D83" s="15"/>
      <c r="E83" s="15"/>
      <c r="F83" s="15"/>
    </row>
    <row r="84" ht="15.75" customHeight="1">
      <c r="B84" s="15"/>
      <c r="D84" s="15"/>
      <c r="E84" s="15"/>
      <c r="F84" s="15"/>
    </row>
    <row r="85" ht="15.75" customHeight="1">
      <c r="B85" s="15"/>
      <c r="D85" s="15"/>
      <c r="E85" s="15"/>
      <c r="F85" s="15"/>
    </row>
    <row r="86" ht="15.75" customHeight="1">
      <c r="B86" s="15"/>
      <c r="D86" s="15"/>
      <c r="E86" s="15"/>
      <c r="F86" s="15"/>
    </row>
    <row r="87" ht="15.75" customHeight="1">
      <c r="B87" s="15"/>
      <c r="D87" s="15"/>
      <c r="E87" s="15"/>
      <c r="F87" s="15"/>
    </row>
    <row r="88" ht="15.75" customHeight="1">
      <c r="B88" s="15"/>
      <c r="D88" s="15"/>
      <c r="E88" s="15"/>
      <c r="F88" s="15"/>
    </row>
    <row r="89" ht="15.75" customHeight="1">
      <c r="B89" s="15"/>
      <c r="D89" s="15"/>
      <c r="E89" s="15"/>
      <c r="F89" s="15"/>
    </row>
    <row r="90" ht="15.75" customHeight="1">
      <c r="B90" s="15"/>
      <c r="D90" s="15"/>
      <c r="E90" s="15"/>
      <c r="F90" s="15"/>
    </row>
    <row r="91" ht="15.75" customHeight="1">
      <c r="B91" s="15"/>
      <c r="D91" s="15"/>
      <c r="E91" s="15"/>
      <c r="F91" s="15"/>
    </row>
    <row r="92" ht="15.75" customHeight="1">
      <c r="B92" s="15"/>
      <c r="D92" s="15"/>
      <c r="E92" s="15"/>
      <c r="F92" s="15"/>
    </row>
    <row r="93" ht="15.75" customHeight="1">
      <c r="B93" s="15"/>
      <c r="D93" s="15"/>
      <c r="E93" s="15"/>
      <c r="F93" s="15"/>
    </row>
    <row r="94" ht="15.75" customHeight="1">
      <c r="B94" s="15"/>
      <c r="D94" s="15"/>
      <c r="E94" s="15"/>
      <c r="F94" s="15"/>
    </row>
    <row r="95" ht="15.75" customHeight="1">
      <c r="B95" s="15"/>
      <c r="D95" s="15"/>
      <c r="E95" s="15"/>
      <c r="F95" s="15"/>
    </row>
    <row r="96" ht="15.75" customHeight="1">
      <c r="B96" s="15"/>
      <c r="D96" s="15"/>
      <c r="E96" s="15"/>
      <c r="F96" s="15"/>
    </row>
    <row r="97" ht="15.75" customHeight="1">
      <c r="B97" s="15"/>
      <c r="D97" s="15"/>
      <c r="E97" s="15"/>
      <c r="F97" s="15"/>
    </row>
    <row r="98" ht="15.75" customHeight="1">
      <c r="B98" s="15"/>
      <c r="D98" s="15"/>
      <c r="E98" s="15"/>
      <c r="F98" s="15"/>
    </row>
    <row r="99" ht="15.75" customHeight="1">
      <c r="B99" s="15"/>
      <c r="D99" s="15"/>
      <c r="E99" s="15"/>
      <c r="F99" s="15"/>
    </row>
    <row r="100" ht="15.75" customHeight="1">
      <c r="B100" s="15"/>
      <c r="D100" s="15"/>
      <c r="E100" s="15"/>
      <c r="F100" s="15"/>
    </row>
    <row r="101" ht="15.75" customHeight="1">
      <c r="B101" s="15"/>
      <c r="D101" s="15"/>
      <c r="E101" s="15"/>
      <c r="F101" s="15"/>
    </row>
    <row r="102" ht="15.75" customHeight="1">
      <c r="B102" s="15"/>
      <c r="D102" s="15"/>
      <c r="E102" s="15"/>
      <c r="F102" s="15"/>
    </row>
    <row r="103" ht="15.75" customHeight="1">
      <c r="B103" s="15"/>
      <c r="D103" s="15"/>
      <c r="E103" s="15"/>
      <c r="F103" s="15"/>
    </row>
    <row r="104" ht="15.75" customHeight="1">
      <c r="B104" s="15"/>
      <c r="D104" s="15"/>
      <c r="E104" s="15"/>
      <c r="F104" s="15"/>
    </row>
    <row r="105" ht="15.75" customHeight="1">
      <c r="B105" s="15"/>
      <c r="D105" s="15"/>
      <c r="E105" s="15"/>
      <c r="F105" s="15"/>
    </row>
    <row r="106" ht="15.75" customHeight="1">
      <c r="B106" s="15"/>
      <c r="D106" s="15"/>
      <c r="E106" s="15"/>
      <c r="F106" s="15"/>
    </row>
    <row r="107" ht="15.75" customHeight="1">
      <c r="B107" s="15"/>
      <c r="D107" s="15"/>
      <c r="E107" s="15"/>
      <c r="F107" s="15"/>
    </row>
    <row r="108" ht="15.75" customHeight="1">
      <c r="B108" s="15"/>
      <c r="D108" s="15"/>
      <c r="E108" s="15"/>
      <c r="F108" s="15"/>
    </row>
    <row r="109" ht="15.75" customHeight="1">
      <c r="B109" s="15"/>
      <c r="D109" s="15"/>
      <c r="E109" s="15"/>
      <c r="F109" s="15"/>
    </row>
    <row r="110" ht="15.75" customHeight="1">
      <c r="B110" s="15"/>
      <c r="D110" s="15"/>
      <c r="E110" s="15"/>
      <c r="F110" s="15"/>
    </row>
    <row r="111" ht="15.75" customHeight="1">
      <c r="B111" s="15"/>
      <c r="D111" s="15"/>
      <c r="E111" s="15"/>
      <c r="F111" s="15"/>
    </row>
    <row r="112" ht="15.75" customHeight="1">
      <c r="B112" s="15"/>
      <c r="D112" s="15"/>
      <c r="E112" s="15"/>
      <c r="F112" s="15"/>
    </row>
    <row r="113" ht="15.75" customHeight="1">
      <c r="B113" s="15"/>
      <c r="D113" s="15"/>
      <c r="E113" s="15"/>
      <c r="F113" s="15"/>
    </row>
    <row r="114" ht="15.75" customHeight="1">
      <c r="B114" s="15"/>
      <c r="D114" s="15"/>
      <c r="E114" s="15"/>
      <c r="F114" s="15"/>
    </row>
    <row r="115" ht="15.75" customHeight="1">
      <c r="B115" s="15"/>
      <c r="D115" s="15"/>
      <c r="E115" s="15"/>
      <c r="F115" s="15"/>
    </row>
    <row r="116" ht="15.75" customHeight="1">
      <c r="B116" s="15"/>
      <c r="D116" s="15"/>
      <c r="E116" s="15"/>
      <c r="F116" s="15"/>
    </row>
    <row r="117" ht="15.75" customHeight="1">
      <c r="B117" s="15"/>
      <c r="D117" s="15"/>
      <c r="E117" s="15"/>
      <c r="F117" s="15"/>
    </row>
    <row r="118" ht="15.75" customHeight="1">
      <c r="B118" s="15"/>
      <c r="D118" s="15"/>
      <c r="E118" s="15"/>
      <c r="F118" s="15"/>
    </row>
    <row r="119" ht="15.75" customHeight="1">
      <c r="B119" s="15"/>
      <c r="D119" s="15"/>
      <c r="E119" s="15"/>
      <c r="F119" s="15"/>
    </row>
    <row r="120" ht="15.75" customHeight="1">
      <c r="B120" s="15"/>
      <c r="D120" s="15"/>
      <c r="E120" s="15"/>
      <c r="F120" s="15"/>
    </row>
    <row r="121" ht="15.75" customHeight="1">
      <c r="B121" s="15"/>
      <c r="D121" s="15"/>
      <c r="E121" s="15"/>
      <c r="F121" s="15"/>
    </row>
    <row r="122" ht="15.75" customHeight="1">
      <c r="B122" s="15"/>
      <c r="D122" s="15"/>
      <c r="E122" s="15"/>
      <c r="F122" s="15"/>
    </row>
    <row r="123" ht="15.75" customHeight="1">
      <c r="B123" s="15"/>
      <c r="D123" s="15"/>
      <c r="E123" s="15"/>
      <c r="F123" s="15"/>
    </row>
    <row r="124" ht="15.75" customHeight="1">
      <c r="B124" s="15"/>
      <c r="D124" s="15"/>
      <c r="E124" s="15"/>
      <c r="F124" s="15"/>
    </row>
    <row r="125" ht="15.75" customHeight="1">
      <c r="B125" s="15"/>
      <c r="D125" s="15"/>
      <c r="E125" s="15"/>
      <c r="F125" s="15"/>
    </row>
    <row r="126" ht="15.75" customHeight="1">
      <c r="B126" s="15"/>
      <c r="D126" s="15"/>
      <c r="E126" s="15"/>
      <c r="F126" s="15"/>
    </row>
    <row r="127" ht="15.75" customHeight="1">
      <c r="B127" s="15"/>
      <c r="D127" s="15"/>
      <c r="E127" s="15"/>
      <c r="F127" s="15"/>
    </row>
    <row r="128" ht="15.75" customHeight="1">
      <c r="B128" s="15"/>
      <c r="D128" s="15"/>
      <c r="E128" s="15"/>
      <c r="F128" s="15"/>
    </row>
    <row r="129" ht="15.75" customHeight="1">
      <c r="B129" s="15"/>
      <c r="D129" s="15"/>
      <c r="E129" s="15"/>
      <c r="F129" s="15"/>
    </row>
    <row r="130" ht="15.75" customHeight="1">
      <c r="B130" s="15"/>
      <c r="D130" s="15"/>
      <c r="E130" s="15"/>
      <c r="F130" s="15"/>
    </row>
    <row r="131" ht="15.75" customHeight="1">
      <c r="B131" s="15"/>
      <c r="D131" s="15"/>
      <c r="E131" s="15"/>
      <c r="F131" s="15"/>
    </row>
    <row r="132" ht="15.75" customHeight="1">
      <c r="B132" s="15"/>
      <c r="D132" s="15"/>
      <c r="E132" s="15"/>
      <c r="F132" s="15"/>
    </row>
    <row r="133" ht="15.75" customHeight="1">
      <c r="B133" s="15"/>
      <c r="D133" s="15"/>
      <c r="E133" s="15"/>
      <c r="F133" s="15"/>
    </row>
    <row r="134" ht="15.75" customHeight="1">
      <c r="B134" s="15"/>
      <c r="D134" s="15"/>
      <c r="E134" s="15"/>
      <c r="F134" s="15"/>
    </row>
    <row r="135" ht="15.75" customHeight="1">
      <c r="B135" s="15"/>
      <c r="D135" s="15"/>
      <c r="E135" s="15"/>
      <c r="F135" s="15"/>
    </row>
    <row r="136" ht="15.75" customHeight="1">
      <c r="B136" s="15"/>
      <c r="D136" s="15"/>
      <c r="E136" s="15"/>
      <c r="F136" s="15"/>
    </row>
    <row r="137" ht="15.75" customHeight="1">
      <c r="B137" s="15"/>
      <c r="D137" s="15"/>
      <c r="E137" s="15"/>
      <c r="F137" s="15"/>
    </row>
    <row r="138" ht="15.75" customHeight="1">
      <c r="B138" s="15"/>
      <c r="D138" s="15"/>
      <c r="E138" s="15"/>
      <c r="F138" s="15"/>
    </row>
    <row r="139" ht="15.75" customHeight="1">
      <c r="B139" s="15"/>
      <c r="D139" s="15"/>
      <c r="E139" s="15"/>
      <c r="F139" s="15"/>
    </row>
    <row r="140" ht="15.75" customHeight="1">
      <c r="B140" s="15"/>
      <c r="D140" s="15"/>
      <c r="E140" s="15"/>
      <c r="F140" s="15"/>
    </row>
    <row r="141" ht="15.75" customHeight="1">
      <c r="B141" s="15"/>
      <c r="D141" s="15"/>
      <c r="E141" s="15"/>
      <c r="F141" s="15"/>
    </row>
    <row r="142" ht="15.75" customHeight="1">
      <c r="B142" s="15"/>
      <c r="D142" s="15"/>
      <c r="E142" s="15"/>
      <c r="F142" s="15"/>
    </row>
    <row r="143" ht="15.75" customHeight="1">
      <c r="B143" s="15"/>
      <c r="D143" s="15"/>
      <c r="E143" s="15"/>
      <c r="F143" s="15"/>
    </row>
    <row r="144" ht="15.75" customHeight="1">
      <c r="B144" s="15"/>
      <c r="D144" s="15"/>
      <c r="E144" s="15"/>
      <c r="F144" s="15"/>
    </row>
    <row r="145" ht="15.75" customHeight="1">
      <c r="B145" s="15"/>
      <c r="D145" s="15"/>
      <c r="E145" s="15"/>
      <c r="F145" s="15"/>
    </row>
    <row r="146" ht="15.75" customHeight="1">
      <c r="B146" s="15"/>
      <c r="D146" s="15"/>
      <c r="E146" s="15"/>
      <c r="F146" s="15"/>
    </row>
    <row r="147" ht="15.75" customHeight="1">
      <c r="B147" s="15"/>
      <c r="D147" s="15"/>
      <c r="E147" s="15"/>
      <c r="F147" s="15"/>
    </row>
    <row r="148" ht="15.75" customHeight="1">
      <c r="B148" s="15"/>
      <c r="D148" s="15"/>
      <c r="E148" s="15"/>
      <c r="F148" s="15"/>
    </row>
    <row r="149" ht="15.75" customHeight="1">
      <c r="B149" s="15"/>
      <c r="D149" s="15"/>
      <c r="E149" s="15"/>
      <c r="F149" s="15"/>
    </row>
    <row r="150" ht="15.75" customHeight="1">
      <c r="B150" s="15"/>
      <c r="D150" s="15"/>
      <c r="E150" s="15"/>
      <c r="F150" s="15"/>
    </row>
    <row r="151" ht="15.75" customHeight="1">
      <c r="B151" s="15"/>
      <c r="D151" s="15"/>
      <c r="E151" s="15"/>
      <c r="F151" s="15"/>
    </row>
    <row r="152" ht="15.75" customHeight="1">
      <c r="B152" s="15"/>
      <c r="D152" s="15"/>
      <c r="E152" s="15"/>
      <c r="F152" s="15"/>
    </row>
    <row r="153" ht="15.75" customHeight="1">
      <c r="B153" s="15"/>
      <c r="D153" s="15"/>
      <c r="E153" s="15"/>
      <c r="F153" s="15"/>
    </row>
    <row r="154" ht="15.75" customHeight="1">
      <c r="B154" s="15"/>
      <c r="D154" s="15"/>
      <c r="E154" s="15"/>
      <c r="F154" s="15"/>
    </row>
    <row r="155" ht="15.75" customHeight="1">
      <c r="B155" s="15"/>
      <c r="D155" s="15"/>
      <c r="E155" s="15"/>
      <c r="F155" s="15"/>
    </row>
    <row r="156" ht="15.75" customHeight="1">
      <c r="B156" s="15"/>
      <c r="D156" s="15"/>
      <c r="E156" s="15"/>
      <c r="F156" s="15"/>
    </row>
    <row r="157" ht="15.75" customHeight="1">
      <c r="B157" s="15"/>
      <c r="D157" s="15"/>
      <c r="E157" s="15"/>
      <c r="F157" s="15"/>
    </row>
    <row r="158" ht="15.75" customHeight="1">
      <c r="B158" s="15"/>
      <c r="D158" s="15"/>
      <c r="E158" s="15"/>
      <c r="F158" s="15"/>
    </row>
    <row r="159" ht="15.75" customHeight="1">
      <c r="B159" s="15"/>
      <c r="D159" s="15"/>
      <c r="E159" s="15"/>
      <c r="F159" s="15"/>
    </row>
    <row r="160" ht="15.75" customHeight="1">
      <c r="B160" s="15"/>
      <c r="D160" s="15"/>
      <c r="E160" s="15"/>
      <c r="F160" s="15"/>
    </row>
    <row r="161" ht="15.75" customHeight="1">
      <c r="B161" s="15"/>
      <c r="D161" s="15"/>
      <c r="E161" s="15"/>
      <c r="F161" s="15"/>
    </row>
    <row r="162" ht="15.75" customHeight="1">
      <c r="B162" s="15"/>
      <c r="D162" s="15"/>
      <c r="E162" s="15"/>
      <c r="F162" s="15"/>
    </row>
    <row r="163" ht="15.75" customHeight="1">
      <c r="B163" s="15"/>
      <c r="D163" s="15"/>
      <c r="E163" s="15"/>
      <c r="F163" s="15"/>
    </row>
    <row r="164" ht="15.75" customHeight="1">
      <c r="B164" s="15"/>
      <c r="D164" s="15"/>
      <c r="E164" s="15"/>
      <c r="F164" s="15"/>
    </row>
    <row r="165" ht="15.75" customHeight="1">
      <c r="B165" s="15"/>
      <c r="D165" s="15"/>
      <c r="E165" s="15"/>
      <c r="F165" s="15"/>
    </row>
    <row r="166" ht="15.75" customHeight="1">
      <c r="B166" s="15"/>
      <c r="D166" s="15"/>
      <c r="E166" s="15"/>
      <c r="F166" s="15"/>
    </row>
    <row r="167" ht="15.75" customHeight="1">
      <c r="B167" s="15"/>
      <c r="D167" s="15"/>
      <c r="E167" s="15"/>
      <c r="F167" s="15"/>
    </row>
    <row r="168" ht="15.75" customHeight="1">
      <c r="B168" s="15"/>
      <c r="D168" s="15"/>
      <c r="E168" s="15"/>
      <c r="F168" s="15"/>
    </row>
    <row r="169" ht="15.75" customHeight="1">
      <c r="B169" s="15"/>
      <c r="D169" s="15"/>
      <c r="E169" s="15"/>
      <c r="F169" s="15"/>
    </row>
    <row r="170" ht="15.75" customHeight="1">
      <c r="B170" s="15"/>
      <c r="D170" s="15"/>
      <c r="E170" s="15"/>
      <c r="F170" s="15"/>
    </row>
    <row r="171" ht="15.75" customHeight="1">
      <c r="B171" s="15"/>
      <c r="D171" s="15"/>
      <c r="E171" s="15"/>
      <c r="F171" s="15"/>
    </row>
    <row r="172" ht="15.75" customHeight="1">
      <c r="B172" s="15"/>
      <c r="D172" s="15"/>
      <c r="E172" s="15"/>
      <c r="F172" s="15"/>
    </row>
    <row r="173" ht="15.75" customHeight="1">
      <c r="B173" s="15"/>
      <c r="D173" s="15"/>
      <c r="E173" s="15"/>
      <c r="F173" s="15"/>
    </row>
    <row r="174" ht="15.75" customHeight="1">
      <c r="B174" s="15"/>
      <c r="D174" s="15"/>
      <c r="E174" s="15"/>
      <c r="F174" s="15"/>
    </row>
    <row r="175" ht="15.75" customHeight="1">
      <c r="B175" s="15"/>
      <c r="D175" s="15"/>
      <c r="E175" s="15"/>
      <c r="F175" s="15"/>
    </row>
    <row r="176" ht="15.75" customHeight="1">
      <c r="B176" s="15"/>
      <c r="D176" s="15"/>
      <c r="E176" s="15"/>
      <c r="F176" s="15"/>
    </row>
    <row r="177" ht="15.75" customHeight="1">
      <c r="B177" s="15"/>
      <c r="D177" s="15"/>
      <c r="E177" s="15"/>
      <c r="F177" s="15"/>
    </row>
    <row r="178" ht="15.75" customHeight="1">
      <c r="B178" s="15"/>
      <c r="D178" s="15"/>
      <c r="E178" s="15"/>
      <c r="F178" s="15"/>
    </row>
    <row r="179" ht="15.75" customHeight="1">
      <c r="B179" s="15"/>
      <c r="D179" s="15"/>
      <c r="E179" s="15"/>
      <c r="F179" s="15"/>
    </row>
    <row r="180" ht="15.75" customHeight="1">
      <c r="B180" s="15"/>
      <c r="D180" s="15"/>
      <c r="E180" s="15"/>
      <c r="F180" s="15"/>
    </row>
    <row r="181" ht="15.75" customHeight="1">
      <c r="B181" s="15"/>
      <c r="D181" s="15"/>
      <c r="E181" s="15"/>
      <c r="F181" s="15"/>
    </row>
    <row r="182" ht="15.75" customHeight="1">
      <c r="B182" s="15"/>
      <c r="D182" s="15"/>
      <c r="E182" s="15"/>
      <c r="F182" s="15"/>
    </row>
    <row r="183" ht="15.75" customHeight="1">
      <c r="B183" s="15"/>
      <c r="D183" s="15"/>
      <c r="E183" s="15"/>
      <c r="F183" s="15"/>
    </row>
    <row r="184" ht="15.75" customHeight="1">
      <c r="B184" s="15"/>
      <c r="D184" s="15"/>
      <c r="E184" s="15"/>
      <c r="F184" s="15"/>
    </row>
    <row r="185" ht="15.75" customHeight="1">
      <c r="B185" s="15"/>
      <c r="D185" s="15"/>
      <c r="E185" s="15"/>
      <c r="F185" s="15"/>
    </row>
    <row r="186" ht="15.75" customHeight="1">
      <c r="B186" s="15"/>
      <c r="D186" s="15"/>
      <c r="E186" s="15"/>
      <c r="F186" s="15"/>
    </row>
    <row r="187" ht="15.75" customHeight="1">
      <c r="B187" s="15"/>
      <c r="D187" s="15"/>
      <c r="E187" s="15"/>
      <c r="F187" s="15"/>
    </row>
    <row r="188" ht="15.75" customHeight="1">
      <c r="B188" s="15"/>
      <c r="D188" s="15"/>
      <c r="E188" s="15"/>
      <c r="F188" s="15"/>
    </row>
    <row r="189" ht="15.75" customHeight="1">
      <c r="B189" s="15"/>
      <c r="D189" s="15"/>
      <c r="E189" s="15"/>
      <c r="F189" s="15"/>
    </row>
    <row r="190" ht="15.75" customHeight="1">
      <c r="B190" s="15"/>
      <c r="D190" s="15"/>
      <c r="E190" s="15"/>
      <c r="F190" s="15"/>
    </row>
    <row r="191" ht="15.75" customHeight="1">
      <c r="B191" s="15"/>
      <c r="D191" s="15"/>
      <c r="E191" s="15"/>
      <c r="F191" s="15"/>
    </row>
    <row r="192" ht="15.75" customHeight="1">
      <c r="B192" s="15"/>
      <c r="D192" s="15"/>
      <c r="E192" s="15"/>
      <c r="F192" s="15"/>
    </row>
    <row r="193" ht="15.75" customHeight="1">
      <c r="B193" s="15"/>
      <c r="D193" s="15"/>
      <c r="E193" s="15"/>
      <c r="F193" s="15"/>
    </row>
    <row r="194" ht="15.75" customHeight="1">
      <c r="B194" s="15"/>
      <c r="D194" s="15"/>
      <c r="E194" s="15"/>
      <c r="F194" s="15"/>
    </row>
    <row r="195" ht="15.75" customHeight="1">
      <c r="B195" s="15"/>
      <c r="D195" s="15"/>
      <c r="E195" s="15"/>
      <c r="F195" s="15"/>
    </row>
    <row r="196" ht="15.75" customHeight="1">
      <c r="B196" s="15"/>
      <c r="D196" s="15"/>
      <c r="E196" s="15"/>
      <c r="F196" s="15"/>
    </row>
    <row r="197" ht="15.75" customHeight="1">
      <c r="B197" s="15"/>
      <c r="D197" s="15"/>
      <c r="E197" s="15"/>
      <c r="F197" s="15"/>
    </row>
    <row r="198" ht="15.75" customHeight="1">
      <c r="B198" s="15"/>
      <c r="D198" s="15"/>
      <c r="E198" s="15"/>
      <c r="F198" s="15"/>
    </row>
    <row r="199" ht="15.75" customHeight="1">
      <c r="B199" s="15"/>
      <c r="D199" s="15"/>
      <c r="E199" s="15"/>
      <c r="F199" s="15"/>
    </row>
    <row r="200" ht="15.75" customHeight="1">
      <c r="B200" s="15"/>
      <c r="D200" s="15"/>
      <c r="E200" s="15"/>
      <c r="F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5">
      <formula1>"INR,USD,AED,SGD,GBP,EUR"</formula1>
    </dataValidation>
    <dataValidation type="list" allowBlank="1" sqref="D5:D200">
      <formula1>Lists!$B$2:$B$5</formula1>
    </dataValidation>
    <dataValidation type="list" allowBlank="1" sqref="B5:B200">
      <formula1>Lists!$A$2:$A$3</formula1>
    </dataValidation>
    <dataValidation type="decimal" operator="greaterThanOrEqual" allowBlank="1" sqref="F5 E6:F200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60.0"/>
    <col customWidth="1" min="5" max="5" width="8.0"/>
    <col customWidth="1" min="6" max="26" width="8.71"/>
  </cols>
  <sheetData>
    <row r="1">
      <c r="A1" s="1" t="s">
        <v>2</v>
      </c>
    </row>
    <row r="2">
      <c r="A2" s="3" t="s">
        <v>29</v>
      </c>
    </row>
    <row r="4">
      <c r="A4" s="5" t="s">
        <v>6</v>
      </c>
      <c r="B4" s="5" t="s">
        <v>37</v>
      </c>
      <c r="C4" s="5" t="s">
        <v>9</v>
      </c>
      <c r="D4" s="5" t="s">
        <v>19</v>
      </c>
      <c r="E4" s="5" t="s">
        <v>40</v>
      </c>
    </row>
    <row r="5">
      <c r="A5" s="7">
        <v>1.0</v>
      </c>
      <c r="B5" s="11" t="s">
        <v>46</v>
      </c>
      <c r="C5" s="13" t="s">
        <v>66</v>
      </c>
      <c r="D5" s="14" t="s">
        <v>71</v>
      </c>
      <c r="E5" s="13" t="s">
        <v>41</v>
      </c>
    </row>
    <row r="6">
      <c r="A6" s="7">
        <v>2.0</v>
      </c>
      <c r="B6" s="11" t="s">
        <v>74</v>
      </c>
      <c r="C6" s="13" t="s">
        <v>66</v>
      </c>
      <c r="D6" s="14" t="s">
        <v>75</v>
      </c>
      <c r="E6" s="13" t="s">
        <v>41</v>
      </c>
    </row>
    <row r="7">
      <c r="A7" s="7">
        <v>3.0</v>
      </c>
      <c r="B7" s="11" t="s">
        <v>76</v>
      </c>
      <c r="C7" s="13" t="s">
        <v>66</v>
      </c>
      <c r="D7" s="14" t="s">
        <v>77</v>
      </c>
      <c r="E7" s="13" t="s">
        <v>41</v>
      </c>
    </row>
    <row r="8">
      <c r="C8" s="15"/>
      <c r="E8" s="15"/>
    </row>
    <row r="9">
      <c r="C9" s="15"/>
      <c r="E9" s="15"/>
    </row>
    <row r="10">
      <c r="C10" s="15"/>
      <c r="E10" s="15"/>
    </row>
    <row r="11">
      <c r="C11" s="15"/>
      <c r="E11" s="15"/>
    </row>
    <row r="12">
      <c r="C12" s="15"/>
      <c r="E12" s="15"/>
    </row>
    <row r="13">
      <c r="C13" s="15"/>
      <c r="E13" s="15"/>
    </row>
    <row r="14">
      <c r="C14" s="15"/>
      <c r="E14" s="15"/>
    </row>
    <row r="15">
      <c r="C15" s="15"/>
      <c r="E15" s="15"/>
    </row>
    <row r="16">
      <c r="C16" s="15"/>
      <c r="E16" s="15"/>
    </row>
    <row r="17">
      <c r="C17" s="15"/>
      <c r="E17" s="15"/>
    </row>
    <row r="18">
      <c r="C18" s="15"/>
      <c r="E18" s="15"/>
    </row>
    <row r="19">
      <c r="C19" s="15"/>
      <c r="E19" s="15"/>
    </row>
    <row r="20">
      <c r="C20" s="15"/>
      <c r="E20" s="15"/>
    </row>
    <row r="21" ht="15.75" customHeight="1">
      <c r="C21" s="15"/>
      <c r="E21" s="15"/>
    </row>
    <row r="22" ht="15.75" customHeight="1">
      <c r="C22" s="15"/>
      <c r="E22" s="15"/>
    </row>
    <row r="23" ht="15.75" customHeight="1">
      <c r="C23" s="15"/>
      <c r="E23" s="15"/>
    </row>
    <row r="24" ht="15.75" customHeight="1">
      <c r="C24" s="15"/>
      <c r="E24" s="15"/>
    </row>
    <row r="25" ht="15.75" customHeight="1">
      <c r="C25" s="15"/>
      <c r="E25" s="15"/>
    </row>
    <row r="26" ht="15.75" customHeight="1">
      <c r="C26" s="15"/>
      <c r="E26" s="15"/>
    </row>
    <row r="27" ht="15.75" customHeight="1">
      <c r="C27" s="15"/>
      <c r="E27" s="15"/>
    </row>
    <row r="28" ht="15.75" customHeight="1">
      <c r="C28" s="15"/>
      <c r="E28" s="15"/>
    </row>
    <row r="29" ht="15.75" customHeight="1">
      <c r="C29" s="15"/>
      <c r="E29" s="15"/>
    </row>
    <row r="30" ht="15.75" customHeight="1">
      <c r="C30" s="15"/>
      <c r="E30" s="15"/>
    </row>
    <row r="31" ht="15.75" customHeight="1">
      <c r="C31" s="15"/>
      <c r="E31" s="15"/>
    </row>
    <row r="32" ht="15.75" customHeight="1">
      <c r="C32" s="15"/>
      <c r="E32" s="15"/>
    </row>
    <row r="33" ht="15.75" customHeight="1">
      <c r="C33" s="15"/>
      <c r="E33" s="15"/>
    </row>
    <row r="34" ht="15.75" customHeight="1">
      <c r="C34" s="15"/>
      <c r="E34" s="15"/>
    </row>
    <row r="35" ht="15.75" customHeight="1">
      <c r="C35" s="15"/>
      <c r="E35" s="15"/>
    </row>
    <row r="36" ht="15.75" customHeight="1">
      <c r="C36" s="15"/>
      <c r="E36" s="15"/>
    </row>
    <row r="37" ht="15.75" customHeight="1">
      <c r="C37" s="15"/>
      <c r="E37" s="15"/>
    </row>
    <row r="38" ht="15.75" customHeight="1">
      <c r="C38" s="15"/>
      <c r="E38" s="15"/>
    </row>
    <row r="39" ht="15.75" customHeight="1">
      <c r="C39" s="15"/>
      <c r="E39" s="15"/>
    </row>
    <row r="40" ht="15.75" customHeight="1">
      <c r="C40" s="15"/>
      <c r="E40" s="15"/>
    </row>
    <row r="41" ht="15.75" customHeight="1">
      <c r="C41" s="15"/>
      <c r="E41" s="15"/>
    </row>
    <row r="42" ht="15.75" customHeight="1">
      <c r="C42" s="15"/>
      <c r="E42" s="15"/>
    </row>
    <row r="43" ht="15.75" customHeight="1">
      <c r="C43" s="15"/>
      <c r="E43" s="15"/>
    </row>
    <row r="44" ht="15.75" customHeight="1">
      <c r="C44" s="15"/>
      <c r="E44" s="15"/>
    </row>
    <row r="45" ht="15.75" customHeight="1">
      <c r="C45" s="15"/>
      <c r="E45" s="15"/>
    </row>
    <row r="46" ht="15.75" customHeight="1">
      <c r="C46" s="15"/>
      <c r="E46" s="15"/>
    </row>
    <row r="47" ht="15.75" customHeight="1">
      <c r="C47" s="15"/>
      <c r="E47" s="15"/>
    </row>
    <row r="48" ht="15.75" customHeight="1">
      <c r="C48" s="15"/>
      <c r="E48" s="15"/>
    </row>
    <row r="49" ht="15.75" customHeight="1">
      <c r="C49" s="15"/>
      <c r="E49" s="15"/>
    </row>
    <row r="50" ht="15.75" customHeight="1">
      <c r="C50" s="15"/>
      <c r="E50" s="15"/>
    </row>
    <row r="51" ht="15.75" customHeight="1">
      <c r="C51" s="15"/>
      <c r="E51" s="15"/>
    </row>
    <row r="52" ht="15.75" customHeight="1">
      <c r="C52" s="15"/>
      <c r="E52" s="15"/>
    </row>
    <row r="53" ht="15.75" customHeight="1">
      <c r="C53" s="15"/>
      <c r="E53" s="15"/>
    </row>
    <row r="54" ht="15.75" customHeight="1">
      <c r="C54" s="15"/>
      <c r="E54" s="15"/>
    </row>
    <row r="55" ht="15.75" customHeight="1">
      <c r="C55" s="15"/>
      <c r="E55" s="15"/>
    </row>
    <row r="56" ht="15.75" customHeight="1">
      <c r="C56" s="15"/>
      <c r="E56" s="15"/>
    </row>
    <row r="57" ht="15.75" customHeight="1">
      <c r="C57" s="15"/>
      <c r="E57" s="15"/>
    </row>
    <row r="58" ht="15.75" customHeight="1">
      <c r="C58" s="15"/>
      <c r="E58" s="15"/>
    </row>
    <row r="59" ht="15.75" customHeight="1">
      <c r="C59" s="15"/>
      <c r="E59" s="15"/>
    </row>
    <row r="60" ht="15.75" customHeight="1">
      <c r="C60" s="15"/>
      <c r="E60" s="15"/>
    </row>
    <row r="61" ht="15.75" customHeight="1">
      <c r="C61" s="15"/>
      <c r="E61" s="15"/>
    </row>
    <row r="62" ht="15.75" customHeight="1">
      <c r="C62" s="15"/>
      <c r="E62" s="15"/>
    </row>
    <row r="63" ht="15.75" customHeight="1">
      <c r="C63" s="15"/>
      <c r="E63" s="15"/>
    </row>
    <row r="64" ht="15.75" customHeight="1">
      <c r="C64" s="15"/>
      <c r="E64" s="15"/>
    </row>
    <row r="65" ht="15.75" customHeight="1">
      <c r="C65" s="15"/>
      <c r="E65" s="15"/>
    </row>
    <row r="66" ht="15.75" customHeight="1">
      <c r="C66" s="15"/>
      <c r="E66" s="15"/>
    </row>
    <row r="67" ht="15.75" customHeight="1">
      <c r="C67" s="15"/>
      <c r="E67" s="15"/>
    </row>
    <row r="68" ht="15.75" customHeight="1">
      <c r="C68" s="15"/>
      <c r="E68" s="15"/>
    </row>
    <row r="69" ht="15.75" customHeight="1">
      <c r="C69" s="15"/>
      <c r="E69" s="15"/>
    </row>
    <row r="70" ht="15.75" customHeight="1">
      <c r="C70" s="15"/>
      <c r="E70" s="15"/>
    </row>
    <row r="71" ht="15.75" customHeight="1">
      <c r="C71" s="15"/>
      <c r="E71" s="15"/>
    </row>
    <row r="72" ht="15.75" customHeight="1">
      <c r="C72" s="15"/>
      <c r="E72" s="15"/>
    </row>
    <row r="73" ht="15.75" customHeight="1">
      <c r="C73" s="15"/>
      <c r="E73" s="15"/>
    </row>
    <row r="74" ht="15.75" customHeight="1">
      <c r="C74" s="15"/>
      <c r="E74" s="15"/>
    </row>
    <row r="75" ht="15.75" customHeight="1">
      <c r="C75" s="15"/>
      <c r="E75" s="15"/>
    </row>
    <row r="76" ht="15.75" customHeight="1">
      <c r="C76" s="15"/>
      <c r="E76" s="15"/>
    </row>
    <row r="77" ht="15.75" customHeight="1">
      <c r="C77" s="15"/>
      <c r="E77" s="15"/>
    </row>
    <row r="78" ht="15.75" customHeight="1">
      <c r="C78" s="15"/>
      <c r="E78" s="15"/>
    </row>
    <row r="79" ht="15.75" customHeight="1">
      <c r="C79" s="15"/>
      <c r="E79" s="15"/>
    </row>
    <row r="80" ht="15.75" customHeight="1">
      <c r="C80" s="15"/>
      <c r="E80" s="15"/>
    </row>
    <row r="81" ht="15.75" customHeight="1">
      <c r="C81" s="15"/>
      <c r="E81" s="15"/>
    </row>
    <row r="82" ht="15.75" customHeight="1">
      <c r="C82" s="15"/>
      <c r="E82" s="15"/>
    </row>
    <row r="83" ht="15.75" customHeight="1">
      <c r="C83" s="15"/>
      <c r="E83" s="15"/>
    </row>
    <row r="84" ht="15.75" customHeight="1">
      <c r="C84" s="15"/>
      <c r="E84" s="15"/>
    </row>
    <row r="85" ht="15.75" customHeight="1">
      <c r="C85" s="15"/>
      <c r="E85" s="15"/>
    </row>
    <row r="86" ht="15.75" customHeight="1">
      <c r="C86" s="15"/>
      <c r="E86" s="15"/>
    </row>
    <row r="87" ht="15.75" customHeight="1">
      <c r="C87" s="15"/>
      <c r="E87" s="15"/>
    </row>
    <row r="88" ht="15.75" customHeight="1">
      <c r="C88" s="15"/>
      <c r="E88" s="15"/>
    </row>
    <row r="89" ht="15.75" customHeight="1">
      <c r="C89" s="15"/>
      <c r="E89" s="15"/>
    </row>
    <row r="90" ht="15.75" customHeight="1">
      <c r="C90" s="15"/>
      <c r="E90" s="15"/>
    </row>
    <row r="91" ht="15.75" customHeight="1">
      <c r="C91" s="15"/>
      <c r="E91" s="15"/>
    </row>
    <row r="92" ht="15.75" customHeight="1">
      <c r="C92" s="15"/>
      <c r="E92" s="15"/>
    </row>
    <row r="93" ht="15.75" customHeight="1">
      <c r="C93" s="15"/>
      <c r="E93" s="15"/>
    </row>
    <row r="94" ht="15.75" customHeight="1">
      <c r="C94" s="15"/>
      <c r="E94" s="15"/>
    </row>
    <row r="95" ht="15.75" customHeight="1">
      <c r="C95" s="15"/>
      <c r="E95" s="15"/>
    </row>
    <row r="96" ht="15.75" customHeight="1">
      <c r="C96" s="15"/>
      <c r="E96" s="15"/>
    </row>
    <row r="97" ht="15.75" customHeight="1">
      <c r="C97" s="15"/>
      <c r="E97" s="15"/>
    </row>
    <row r="98" ht="15.75" customHeight="1">
      <c r="C98" s="15"/>
      <c r="E98" s="15"/>
    </row>
    <row r="99" ht="15.75" customHeight="1">
      <c r="C99" s="15"/>
      <c r="E99" s="15"/>
    </row>
    <row r="100" ht="15.75" customHeight="1">
      <c r="C100" s="15"/>
      <c r="E100" s="1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5:C100">
      <formula1>Lists!$K$2</formula1>
    </dataValidation>
    <dataValidation type="list" allowBlank="1" sqref="E5:E100">
      <formula1>Lists!$E$2:$E$3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30.0"/>
    <col customWidth="1" min="4" max="5" width="13.0"/>
    <col customWidth="1" min="6" max="6" width="32.0"/>
    <col customWidth="1" min="7" max="7" width="8.0"/>
    <col customWidth="1" min="8" max="8" width="70.0"/>
    <col customWidth="1" min="9" max="26" width="8.71"/>
  </cols>
  <sheetData>
    <row r="1">
      <c r="A1" s="1" t="s">
        <v>134</v>
      </c>
    </row>
    <row r="2">
      <c r="A2" s="3" t="s">
        <v>135</v>
      </c>
    </row>
    <row r="4">
      <c r="A4" s="5" t="s">
        <v>6</v>
      </c>
      <c r="B4" s="5" t="s">
        <v>136</v>
      </c>
      <c r="C4" s="5" t="s">
        <v>66</v>
      </c>
      <c r="D4" s="5" t="s">
        <v>137</v>
      </c>
      <c r="E4" s="5" t="s">
        <v>138</v>
      </c>
      <c r="F4" s="5" t="s">
        <v>2</v>
      </c>
      <c r="G4" s="5" t="s">
        <v>40</v>
      </c>
      <c r="H4" s="18" t="s">
        <v>139</v>
      </c>
    </row>
    <row r="5">
      <c r="A5" s="7">
        <v>1.0</v>
      </c>
      <c r="B5" s="11"/>
      <c r="C5" s="11"/>
      <c r="D5" s="19"/>
      <c r="E5" s="13"/>
      <c r="F5" s="11"/>
      <c r="G5" s="13"/>
      <c r="H5" s="20" t="str">
        <f t="shared" ref="H5:H54" si="1">IF(B5="","",B5&amp;","&amp;C5&amp;","&amp;D5&amp;","&amp;E5&amp;","&amp;CHAR(34)&amp;F5&amp;CHAR(34))</f>
        <v/>
      </c>
    </row>
    <row r="6">
      <c r="A6" s="7">
        <v>2.0</v>
      </c>
      <c r="B6" s="11"/>
      <c r="C6" s="11"/>
      <c r="D6" s="19"/>
      <c r="E6" s="13"/>
      <c r="F6" s="11"/>
      <c r="G6" s="13"/>
      <c r="H6" s="20" t="str">
        <f t="shared" si="1"/>
        <v/>
      </c>
    </row>
    <row r="7">
      <c r="A7" s="7">
        <v>3.0</v>
      </c>
      <c r="B7" s="11"/>
      <c r="C7" s="11"/>
      <c r="D7" s="19"/>
      <c r="E7" s="13"/>
      <c r="F7" s="11"/>
      <c r="G7" s="13"/>
      <c r="H7" s="20" t="str">
        <f t="shared" si="1"/>
        <v/>
      </c>
    </row>
    <row r="8">
      <c r="A8" s="7">
        <v>4.0</v>
      </c>
      <c r="B8" s="11"/>
      <c r="C8" s="11"/>
      <c r="D8" s="19"/>
      <c r="E8" s="13"/>
      <c r="F8" s="11"/>
      <c r="G8" s="13"/>
      <c r="H8" s="20" t="str">
        <f t="shared" si="1"/>
        <v/>
      </c>
    </row>
    <row r="9">
      <c r="A9" s="7">
        <v>5.0</v>
      </c>
      <c r="B9" s="11"/>
      <c r="C9" s="11"/>
      <c r="D9" s="19"/>
      <c r="E9" s="13"/>
      <c r="F9" s="11"/>
      <c r="G9" s="13"/>
      <c r="H9" s="20" t="str">
        <f t="shared" si="1"/>
        <v/>
      </c>
    </row>
    <row r="10">
      <c r="A10" s="7">
        <v>6.0</v>
      </c>
      <c r="B10" s="11"/>
      <c r="C10" s="11"/>
      <c r="D10" s="19"/>
      <c r="E10" s="13"/>
      <c r="F10" s="11"/>
      <c r="G10" s="13"/>
      <c r="H10" s="20" t="str">
        <f t="shared" si="1"/>
        <v/>
      </c>
    </row>
    <row r="11">
      <c r="A11" s="7">
        <v>7.0</v>
      </c>
      <c r="B11" s="11"/>
      <c r="C11" s="11"/>
      <c r="D11" s="19"/>
      <c r="E11" s="13"/>
      <c r="F11" s="11"/>
      <c r="G11" s="13"/>
      <c r="H11" s="20" t="str">
        <f t="shared" si="1"/>
        <v/>
      </c>
    </row>
    <row r="12">
      <c r="A12" s="7">
        <v>8.0</v>
      </c>
      <c r="B12" s="11"/>
      <c r="C12" s="11"/>
      <c r="D12" s="19"/>
      <c r="E12" s="13"/>
      <c r="F12" s="11"/>
      <c r="G12" s="13"/>
      <c r="H12" s="20" t="str">
        <f t="shared" si="1"/>
        <v/>
      </c>
    </row>
    <row r="13">
      <c r="A13" s="7">
        <v>9.0</v>
      </c>
      <c r="B13" s="11"/>
      <c r="C13" s="11"/>
      <c r="D13" s="19"/>
      <c r="E13" s="13"/>
      <c r="F13" s="11"/>
      <c r="G13" s="13"/>
      <c r="H13" s="20" t="str">
        <f t="shared" si="1"/>
        <v/>
      </c>
    </row>
    <row r="14">
      <c r="A14" s="7">
        <v>10.0</v>
      </c>
      <c r="B14" s="11"/>
      <c r="C14" s="11"/>
      <c r="D14" s="19"/>
      <c r="E14" s="13"/>
      <c r="F14" s="11"/>
      <c r="G14" s="13"/>
      <c r="H14" s="20" t="str">
        <f t="shared" si="1"/>
        <v/>
      </c>
    </row>
    <row r="15">
      <c r="A15" s="7">
        <v>11.0</v>
      </c>
      <c r="B15" s="11"/>
      <c r="C15" s="11"/>
      <c r="D15" s="19"/>
      <c r="E15" s="13"/>
      <c r="F15" s="11"/>
      <c r="G15" s="13"/>
      <c r="H15" s="20" t="str">
        <f t="shared" si="1"/>
        <v/>
      </c>
    </row>
    <row r="16">
      <c r="A16" s="7">
        <v>12.0</v>
      </c>
      <c r="B16" s="11"/>
      <c r="C16" s="11"/>
      <c r="D16" s="19"/>
      <c r="E16" s="13"/>
      <c r="F16" s="11"/>
      <c r="G16" s="13"/>
      <c r="H16" s="20" t="str">
        <f t="shared" si="1"/>
        <v/>
      </c>
    </row>
    <row r="17">
      <c r="A17" s="7">
        <v>13.0</v>
      </c>
      <c r="B17" s="11"/>
      <c r="C17" s="11"/>
      <c r="D17" s="19"/>
      <c r="E17" s="13"/>
      <c r="F17" s="11"/>
      <c r="G17" s="13"/>
      <c r="H17" s="20" t="str">
        <f t="shared" si="1"/>
        <v/>
      </c>
    </row>
    <row r="18">
      <c r="A18" s="7">
        <v>14.0</v>
      </c>
      <c r="B18" s="11"/>
      <c r="C18" s="11"/>
      <c r="D18" s="19"/>
      <c r="E18" s="13"/>
      <c r="F18" s="11"/>
      <c r="G18" s="13"/>
      <c r="H18" s="20" t="str">
        <f t="shared" si="1"/>
        <v/>
      </c>
    </row>
    <row r="19">
      <c r="A19" s="7">
        <v>15.0</v>
      </c>
      <c r="B19" s="11"/>
      <c r="C19" s="11"/>
      <c r="D19" s="19"/>
      <c r="E19" s="13"/>
      <c r="F19" s="11"/>
      <c r="G19" s="13"/>
      <c r="H19" s="20" t="str">
        <f t="shared" si="1"/>
        <v/>
      </c>
    </row>
    <row r="20">
      <c r="A20" s="7">
        <v>16.0</v>
      </c>
      <c r="B20" s="11"/>
      <c r="C20" s="11"/>
      <c r="D20" s="19"/>
      <c r="E20" s="13"/>
      <c r="F20" s="11"/>
      <c r="G20" s="13"/>
      <c r="H20" s="20" t="str">
        <f t="shared" si="1"/>
        <v/>
      </c>
    </row>
    <row r="21" ht="15.75" customHeight="1">
      <c r="A21" s="7">
        <v>17.0</v>
      </c>
      <c r="B21" s="11"/>
      <c r="C21" s="11"/>
      <c r="D21" s="19"/>
      <c r="E21" s="13"/>
      <c r="F21" s="11"/>
      <c r="G21" s="13"/>
      <c r="H21" s="20" t="str">
        <f t="shared" si="1"/>
        <v/>
      </c>
    </row>
    <row r="22" ht="15.75" customHeight="1">
      <c r="A22" s="7">
        <v>18.0</v>
      </c>
      <c r="B22" s="11"/>
      <c r="C22" s="11"/>
      <c r="D22" s="19"/>
      <c r="E22" s="13"/>
      <c r="F22" s="11"/>
      <c r="G22" s="13"/>
      <c r="H22" s="20" t="str">
        <f t="shared" si="1"/>
        <v/>
      </c>
    </row>
    <row r="23" ht="15.75" customHeight="1">
      <c r="A23" s="7">
        <v>19.0</v>
      </c>
      <c r="B23" s="11"/>
      <c r="C23" s="11"/>
      <c r="D23" s="19"/>
      <c r="E23" s="13"/>
      <c r="F23" s="11"/>
      <c r="G23" s="13"/>
      <c r="H23" s="20" t="str">
        <f t="shared" si="1"/>
        <v/>
      </c>
    </row>
    <row r="24" ht="15.75" customHeight="1">
      <c r="A24" s="7">
        <v>20.0</v>
      </c>
      <c r="B24" s="11"/>
      <c r="C24" s="11"/>
      <c r="D24" s="19"/>
      <c r="E24" s="13"/>
      <c r="F24" s="11"/>
      <c r="G24" s="13"/>
      <c r="H24" s="20" t="str">
        <f t="shared" si="1"/>
        <v/>
      </c>
    </row>
    <row r="25" ht="15.75" customHeight="1">
      <c r="A25" s="7">
        <v>21.0</v>
      </c>
      <c r="B25" s="11"/>
      <c r="C25" s="11"/>
      <c r="D25" s="19"/>
      <c r="E25" s="13"/>
      <c r="F25" s="11"/>
      <c r="G25" s="13"/>
      <c r="H25" s="20" t="str">
        <f t="shared" si="1"/>
        <v/>
      </c>
    </row>
    <row r="26" ht="15.75" customHeight="1">
      <c r="A26" s="7">
        <v>22.0</v>
      </c>
      <c r="B26" s="11"/>
      <c r="C26" s="11"/>
      <c r="D26" s="19"/>
      <c r="E26" s="13"/>
      <c r="F26" s="11"/>
      <c r="G26" s="13"/>
      <c r="H26" s="20" t="str">
        <f t="shared" si="1"/>
        <v/>
      </c>
    </row>
    <row r="27" ht="15.75" customHeight="1">
      <c r="A27" s="7">
        <v>23.0</v>
      </c>
      <c r="B27" s="11"/>
      <c r="C27" s="11"/>
      <c r="D27" s="19"/>
      <c r="E27" s="13"/>
      <c r="F27" s="11"/>
      <c r="G27" s="13"/>
      <c r="H27" s="20" t="str">
        <f t="shared" si="1"/>
        <v/>
      </c>
    </row>
    <row r="28" ht="15.75" customHeight="1">
      <c r="A28" s="7">
        <v>24.0</v>
      </c>
      <c r="B28" s="11"/>
      <c r="C28" s="11"/>
      <c r="D28" s="19"/>
      <c r="E28" s="13"/>
      <c r="F28" s="11"/>
      <c r="G28" s="13"/>
      <c r="H28" s="20" t="str">
        <f t="shared" si="1"/>
        <v/>
      </c>
    </row>
    <row r="29" ht="15.75" customHeight="1">
      <c r="A29" s="7">
        <v>25.0</v>
      </c>
      <c r="B29" s="11"/>
      <c r="C29" s="11"/>
      <c r="D29" s="19"/>
      <c r="E29" s="13"/>
      <c r="F29" s="11"/>
      <c r="G29" s="13"/>
      <c r="H29" s="20" t="str">
        <f t="shared" si="1"/>
        <v/>
      </c>
    </row>
    <row r="30" ht="15.75" customHeight="1">
      <c r="A30" s="7">
        <v>26.0</v>
      </c>
      <c r="B30" s="11"/>
      <c r="C30" s="11"/>
      <c r="D30" s="19"/>
      <c r="E30" s="13"/>
      <c r="F30" s="11"/>
      <c r="G30" s="13"/>
      <c r="H30" s="20" t="str">
        <f t="shared" si="1"/>
        <v/>
      </c>
    </row>
    <row r="31" ht="15.75" customHeight="1">
      <c r="A31" s="7">
        <v>27.0</v>
      </c>
      <c r="B31" s="11"/>
      <c r="C31" s="11"/>
      <c r="D31" s="19"/>
      <c r="E31" s="13"/>
      <c r="F31" s="11"/>
      <c r="G31" s="13"/>
      <c r="H31" s="20" t="str">
        <f t="shared" si="1"/>
        <v/>
      </c>
    </row>
    <row r="32" ht="15.75" customHeight="1">
      <c r="A32" s="7">
        <v>28.0</v>
      </c>
      <c r="B32" s="11"/>
      <c r="C32" s="11"/>
      <c r="D32" s="19"/>
      <c r="E32" s="13"/>
      <c r="F32" s="11"/>
      <c r="G32" s="13"/>
      <c r="H32" s="20" t="str">
        <f t="shared" si="1"/>
        <v/>
      </c>
    </row>
    <row r="33" ht="15.75" customHeight="1">
      <c r="A33" s="7">
        <v>29.0</v>
      </c>
      <c r="B33" s="11"/>
      <c r="C33" s="11"/>
      <c r="D33" s="19"/>
      <c r="E33" s="13"/>
      <c r="F33" s="11"/>
      <c r="G33" s="13"/>
      <c r="H33" s="20" t="str">
        <f t="shared" si="1"/>
        <v/>
      </c>
    </row>
    <row r="34" ht="15.75" customHeight="1">
      <c r="A34" s="7">
        <v>30.0</v>
      </c>
      <c r="B34" s="11"/>
      <c r="C34" s="11"/>
      <c r="D34" s="19"/>
      <c r="E34" s="13"/>
      <c r="F34" s="11"/>
      <c r="G34" s="13"/>
      <c r="H34" s="20" t="str">
        <f t="shared" si="1"/>
        <v/>
      </c>
    </row>
    <row r="35" ht="15.75" customHeight="1">
      <c r="A35" s="7">
        <v>31.0</v>
      </c>
      <c r="B35" s="11"/>
      <c r="C35" s="11"/>
      <c r="D35" s="19"/>
      <c r="E35" s="13"/>
      <c r="F35" s="11"/>
      <c r="G35" s="13"/>
      <c r="H35" s="20" t="str">
        <f t="shared" si="1"/>
        <v/>
      </c>
    </row>
    <row r="36" ht="15.75" customHeight="1">
      <c r="A36" s="7">
        <v>32.0</v>
      </c>
      <c r="B36" s="11"/>
      <c r="C36" s="11"/>
      <c r="D36" s="19"/>
      <c r="E36" s="13"/>
      <c r="F36" s="11"/>
      <c r="G36" s="13"/>
      <c r="H36" s="20" t="str">
        <f t="shared" si="1"/>
        <v/>
      </c>
    </row>
    <row r="37" ht="15.75" customHeight="1">
      <c r="A37" s="7">
        <v>33.0</v>
      </c>
      <c r="B37" s="11"/>
      <c r="C37" s="11"/>
      <c r="D37" s="19"/>
      <c r="E37" s="13"/>
      <c r="F37" s="11"/>
      <c r="G37" s="13"/>
      <c r="H37" s="20" t="str">
        <f t="shared" si="1"/>
        <v/>
      </c>
    </row>
    <row r="38" ht="15.75" customHeight="1">
      <c r="A38" s="7">
        <v>34.0</v>
      </c>
      <c r="B38" s="11"/>
      <c r="C38" s="11"/>
      <c r="D38" s="19"/>
      <c r="E38" s="13"/>
      <c r="F38" s="11"/>
      <c r="G38" s="13"/>
      <c r="H38" s="20" t="str">
        <f t="shared" si="1"/>
        <v/>
      </c>
    </row>
    <row r="39" ht="15.75" customHeight="1">
      <c r="A39" s="7">
        <v>35.0</v>
      </c>
      <c r="B39" s="11"/>
      <c r="C39" s="11"/>
      <c r="D39" s="19"/>
      <c r="E39" s="13"/>
      <c r="F39" s="11"/>
      <c r="G39" s="13"/>
      <c r="H39" s="20" t="str">
        <f t="shared" si="1"/>
        <v/>
      </c>
    </row>
    <row r="40" ht="15.75" customHeight="1">
      <c r="A40" s="7">
        <v>36.0</v>
      </c>
      <c r="B40" s="11"/>
      <c r="C40" s="11"/>
      <c r="D40" s="19"/>
      <c r="E40" s="13"/>
      <c r="F40" s="11"/>
      <c r="G40" s="13"/>
      <c r="H40" s="20" t="str">
        <f t="shared" si="1"/>
        <v/>
      </c>
    </row>
    <row r="41" ht="15.75" customHeight="1">
      <c r="A41" s="7">
        <v>37.0</v>
      </c>
      <c r="B41" s="11"/>
      <c r="C41" s="11"/>
      <c r="D41" s="19"/>
      <c r="E41" s="13"/>
      <c r="F41" s="11"/>
      <c r="G41" s="13"/>
      <c r="H41" s="20" t="str">
        <f t="shared" si="1"/>
        <v/>
      </c>
    </row>
    <row r="42" ht="15.75" customHeight="1">
      <c r="A42" s="7">
        <v>38.0</v>
      </c>
      <c r="B42" s="11"/>
      <c r="C42" s="11"/>
      <c r="D42" s="19"/>
      <c r="E42" s="13"/>
      <c r="F42" s="11"/>
      <c r="G42" s="13"/>
      <c r="H42" s="20" t="str">
        <f t="shared" si="1"/>
        <v/>
      </c>
    </row>
    <row r="43" ht="15.75" customHeight="1">
      <c r="A43" s="7">
        <v>39.0</v>
      </c>
      <c r="B43" s="11"/>
      <c r="C43" s="11"/>
      <c r="D43" s="19"/>
      <c r="E43" s="13"/>
      <c r="F43" s="11"/>
      <c r="G43" s="13"/>
      <c r="H43" s="20" t="str">
        <f t="shared" si="1"/>
        <v/>
      </c>
    </row>
    <row r="44" ht="15.75" customHeight="1">
      <c r="A44" s="7">
        <v>40.0</v>
      </c>
      <c r="B44" s="11"/>
      <c r="C44" s="11"/>
      <c r="D44" s="19"/>
      <c r="E44" s="13"/>
      <c r="F44" s="11"/>
      <c r="G44" s="13"/>
      <c r="H44" s="20" t="str">
        <f t="shared" si="1"/>
        <v/>
      </c>
    </row>
    <row r="45" ht="15.75" customHeight="1">
      <c r="A45" s="7">
        <v>41.0</v>
      </c>
      <c r="B45" s="11"/>
      <c r="C45" s="11"/>
      <c r="D45" s="19"/>
      <c r="E45" s="13"/>
      <c r="F45" s="11"/>
      <c r="G45" s="13"/>
      <c r="H45" s="20" t="str">
        <f t="shared" si="1"/>
        <v/>
      </c>
    </row>
    <row r="46" ht="15.75" customHeight="1">
      <c r="A46" s="7">
        <v>42.0</v>
      </c>
      <c r="B46" s="11"/>
      <c r="C46" s="11"/>
      <c r="D46" s="19"/>
      <c r="E46" s="13"/>
      <c r="F46" s="11"/>
      <c r="G46" s="13"/>
      <c r="H46" s="20" t="str">
        <f t="shared" si="1"/>
        <v/>
      </c>
    </row>
    <row r="47" ht="15.75" customHeight="1">
      <c r="A47" s="7">
        <v>43.0</v>
      </c>
      <c r="B47" s="11"/>
      <c r="C47" s="11"/>
      <c r="D47" s="19"/>
      <c r="E47" s="13"/>
      <c r="F47" s="11"/>
      <c r="G47" s="13"/>
      <c r="H47" s="20" t="str">
        <f t="shared" si="1"/>
        <v/>
      </c>
    </row>
    <row r="48" ht="15.75" customHeight="1">
      <c r="A48" s="7">
        <v>44.0</v>
      </c>
      <c r="B48" s="11"/>
      <c r="C48" s="11"/>
      <c r="D48" s="19"/>
      <c r="E48" s="13"/>
      <c r="F48" s="11"/>
      <c r="G48" s="13"/>
      <c r="H48" s="20" t="str">
        <f t="shared" si="1"/>
        <v/>
      </c>
    </row>
    <row r="49" ht="15.75" customHeight="1">
      <c r="A49" s="7">
        <v>45.0</v>
      </c>
      <c r="B49" s="11"/>
      <c r="C49" s="11"/>
      <c r="D49" s="19"/>
      <c r="E49" s="13"/>
      <c r="F49" s="11"/>
      <c r="G49" s="13"/>
      <c r="H49" s="20" t="str">
        <f t="shared" si="1"/>
        <v/>
      </c>
    </row>
    <row r="50" ht="15.75" customHeight="1">
      <c r="A50" s="7">
        <v>46.0</v>
      </c>
      <c r="B50" s="11"/>
      <c r="C50" s="11"/>
      <c r="D50" s="19"/>
      <c r="E50" s="13"/>
      <c r="F50" s="11"/>
      <c r="G50" s="13"/>
      <c r="H50" s="20" t="str">
        <f t="shared" si="1"/>
        <v/>
      </c>
    </row>
    <row r="51" ht="15.75" customHeight="1">
      <c r="A51" s="7">
        <v>47.0</v>
      </c>
      <c r="B51" s="11"/>
      <c r="C51" s="11"/>
      <c r="D51" s="19"/>
      <c r="E51" s="13"/>
      <c r="F51" s="11"/>
      <c r="G51" s="13"/>
      <c r="H51" s="20" t="str">
        <f t="shared" si="1"/>
        <v/>
      </c>
    </row>
    <row r="52" ht="15.75" customHeight="1">
      <c r="A52" s="7">
        <v>48.0</v>
      </c>
      <c r="B52" s="11"/>
      <c r="C52" s="11"/>
      <c r="D52" s="19"/>
      <c r="E52" s="13"/>
      <c r="F52" s="11"/>
      <c r="G52" s="13"/>
      <c r="H52" s="20" t="str">
        <f t="shared" si="1"/>
        <v/>
      </c>
    </row>
    <row r="53" ht="15.75" customHeight="1">
      <c r="A53" s="7">
        <v>49.0</v>
      </c>
      <c r="B53" s="11"/>
      <c r="C53" s="11"/>
      <c r="D53" s="19"/>
      <c r="E53" s="13"/>
      <c r="F53" s="11"/>
      <c r="G53" s="13"/>
      <c r="H53" s="20" t="str">
        <f t="shared" si="1"/>
        <v/>
      </c>
    </row>
    <row r="54" ht="15.75" customHeight="1">
      <c r="A54" s="7">
        <v>50.0</v>
      </c>
      <c r="B54" s="11"/>
      <c r="C54" s="11"/>
      <c r="D54" s="19"/>
      <c r="E54" s="13"/>
      <c r="F54" s="11"/>
      <c r="G54" s="13"/>
      <c r="H54" s="20" t="str">
        <f t="shared" si="1"/>
        <v/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5:G54">
    <cfRule type="expression" dxfId="0" priority="1">
      <formula>AND(COUNTA($B5:$F5)&gt;0,COUNTBLANK($B5:$E5)&gt;0,ISBLANK(B5))</formula>
    </cfRule>
  </conditionalFormatting>
  <dataValidations>
    <dataValidation type="list" allowBlank="1" sqref="E5:E54">
      <formula1>Lists!$J$2:$J$5</formula1>
    </dataValidation>
    <dataValidation type="custom" allowBlank="1" sqref="C5:C54">
      <formula1>AND(ISNUMBER(FIND("@",C5)),ISNUMBER(FIND(".",C5)))</formula1>
    </dataValidation>
    <dataValidation type="list" allowBlank="1" sqref="G5:G54">
      <formula1>Lists!$E$2:$E$3</formula1>
    </dataValidation>
    <dataValidation type="custom" allowBlank="1" sqref="D5:D54">
      <formula1>AND(LEN(D5)=10,ISNUMBER(--D5))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8.0"/>
    <col customWidth="1" min="4" max="4" width="24.0"/>
    <col customWidth="1" min="5" max="5" width="8.0"/>
    <col customWidth="1" min="6" max="6" width="20.0"/>
    <col customWidth="1" min="7" max="7" width="54.0"/>
    <col customWidth="1" min="8" max="8" width="22.0"/>
    <col customWidth="1" min="9" max="9" width="34.0"/>
    <col customWidth="1" min="10" max="10" width="22.0"/>
    <col customWidth="1" min="11" max="11" width="11.0"/>
    <col customWidth="1" min="12" max="12" width="30.0"/>
    <col customWidth="1" min="13" max="14" width="8.0"/>
    <col customWidth="1" min="15" max="26" width="8.71"/>
  </cols>
  <sheetData>
    <row r="1">
      <c r="A1" s="1" t="s">
        <v>140</v>
      </c>
    </row>
    <row r="2">
      <c r="A2" s="3" t="s">
        <v>141</v>
      </c>
    </row>
    <row r="4">
      <c r="A4" s="5" t="s">
        <v>6</v>
      </c>
      <c r="B4" s="5" t="s">
        <v>142</v>
      </c>
      <c r="C4" s="5" t="s">
        <v>143</v>
      </c>
      <c r="D4" s="5" t="s">
        <v>144</v>
      </c>
      <c r="E4" s="5" t="s">
        <v>145</v>
      </c>
      <c r="F4" s="5" t="s">
        <v>146</v>
      </c>
      <c r="G4" s="5" t="s">
        <v>147</v>
      </c>
      <c r="H4" s="5" t="s">
        <v>148</v>
      </c>
      <c r="I4" s="5" t="s">
        <v>149</v>
      </c>
      <c r="J4" s="5" t="s">
        <v>150</v>
      </c>
      <c r="K4" s="5" t="s">
        <v>151</v>
      </c>
      <c r="L4" s="5" t="s">
        <v>152</v>
      </c>
      <c r="M4" s="5" t="s">
        <v>153</v>
      </c>
      <c r="N4" s="5" t="s">
        <v>40</v>
      </c>
    </row>
    <row r="5">
      <c r="A5" s="7">
        <v>1.0</v>
      </c>
      <c r="B5" s="7" t="s">
        <v>63</v>
      </c>
      <c r="C5" s="7">
        <v>1.0</v>
      </c>
      <c r="D5" s="10" t="s">
        <v>167</v>
      </c>
      <c r="E5" s="7" t="s">
        <v>169</v>
      </c>
      <c r="F5" s="8" t="s">
        <v>171</v>
      </c>
      <c r="G5" s="10" t="s">
        <v>173</v>
      </c>
      <c r="H5" s="10"/>
      <c r="I5" s="10" t="s">
        <v>176</v>
      </c>
      <c r="J5" s="10" t="s">
        <v>177</v>
      </c>
      <c r="K5" s="13">
        <v>7.0</v>
      </c>
      <c r="L5" s="10" t="s">
        <v>178</v>
      </c>
      <c r="M5" s="7">
        <f t="shared" ref="M5:M152" si="1">IF(L5="",0,LEN(L5)-LEN(SUBSTITUTE(L5,",",""))+1)</f>
        <v>2</v>
      </c>
      <c r="N5" s="13" t="s">
        <v>41</v>
      </c>
    </row>
    <row r="6">
      <c r="A6" s="7">
        <v>2.0</v>
      </c>
      <c r="B6" s="7" t="s">
        <v>63</v>
      </c>
      <c r="C6" s="7">
        <v>1.0</v>
      </c>
      <c r="D6" s="10" t="s">
        <v>167</v>
      </c>
      <c r="E6" s="7" t="s">
        <v>250</v>
      </c>
      <c r="F6" s="8" t="s">
        <v>251</v>
      </c>
      <c r="G6" s="10" t="s">
        <v>252</v>
      </c>
      <c r="H6" s="10"/>
      <c r="I6" s="10" t="s">
        <v>253</v>
      </c>
      <c r="J6" s="10" t="s">
        <v>254</v>
      </c>
      <c r="K6" s="13">
        <v>7.0</v>
      </c>
      <c r="L6" s="10" t="s">
        <v>255</v>
      </c>
      <c r="M6" s="7">
        <f t="shared" si="1"/>
        <v>1</v>
      </c>
      <c r="N6" s="13" t="s">
        <v>41</v>
      </c>
    </row>
    <row r="7">
      <c r="A7" s="7">
        <v>3.0</v>
      </c>
      <c r="B7" s="7" t="s">
        <v>63</v>
      </c>
      <c r="C7" s="7">
        <v>1.0</v>
      </c>
      <c r="D7" s="10" t="s">
        <v>167</v>
      </c>
      <c r="E7" s="7" t="s">
        <v>259</v>
      </c>
      <c r="F7" s="8" t="s">
        <v>260</v>
      </c>
      <c r="G7" s="10" t="s">
        <v>261</v>
      </c>
      <c r="H7" s="10" t="s">
        <v>263</v>
      </c>
      <c r="I7" s="10" t="s">
        <v>264</v>
      </c>
      <c r="J7" s="10" t="s">
        <v>266</v>
      </c>
      <c r="K7" s="13">
        <v>10.0</v>
      </c>
      <c r="L7" s="10" t="s">
        <v>268</v>
      </c>
      <c r="M7" s="7">
        <f t="shared" si="1"/>
        <v>2</v>
      </c>
      <c r="N7" s="13" t="s">
        <v>41</v>
      </c>
    </row>
    <row r="8">
      <c r="A8" s="7">
        <v>4.0</v>
      </c>
      <c r="B8" s="7" t="s">
        <v>63</v>
      </c>
      <c r="C8" s="7">
        <v>1.0</v>
      </c>
      <c r="D8" s="10" t="s">
        <v>167</v>
      </c>
      <c r="E8" s="7" t="s">
        <v>269</v>
      </c>
      <c r="F8" s="8" t="s">
        <v>270</v>
      </c>
      <c r="G8" s="10" t="s">
        <v>271</v>
      </c>
      <c r="H8" s="10" t="s">
        <v>259</v>
      </c>
      <c r="I8" s="10" t="s">
        <v>272</v>
      </c>
      <c r="J8" s="10" t="s">
        <v>273</v>
      </c>
      <c r="K8" s="13">
        <v>7.0</v>
      </c>
      <c r="L8" s="10"/>
      <c r="M8" s="7">
        <f t="shared" si="1"/>
        <v>0</v>
      </c>
      <c r="N8" s="13" t="s">
        <v>41</v>
      </c>
    </row>
    <row r="9">
      <c r="A9" s="7">
        <v>5.0</v>
      </c>
      <c r="B9" s="7" t="s">
        <v>63</v>
      </c>
      <c r="C9" s="7">
        <v>1.0</v>
      </c>
      <c r="D9" s="10" t="s">
        <v>167</v>
      </c>
      <c r="E9" s="7" t="s">
        <v>277</v>
      </c>
      <c r="F9" s="8" t="s">
        <v>278</v>
      </c>
      <c r="G9" s="10" t="s">
        <v>279</v>
      </c>
      <c r="H9" s="10" t="s">
        <v>169</v>
      </c>
      <c r="I9" s="10" t="s">
        <v>280</v>
      </c>
      <c r="J9" s="10" t="s">
        <v>281</v>
      </c>
      <c r="K9" s="13">
        <v>5.0</v>
      </c>
      <c r="L9" s="10"/>
      <c r="M9" s="7">
        <f t="shared" si="1"/>
        <v>0</v>
      </c>
      <c r="N9" s="13" t="s">
        <v>41</v>
      </c>
    </row>
    <row r="10">
      <c r="A10" s="7">
        <v>6.0</v>
      </c>
      <c r="B10" s="7" t="s">
        <v>63</v>
      </c>
      <c r="C10" s="7">
        <v>2.0</v>
      </c>
      <c r="D10" s="10" t="s">
        <v>282</v>
      </c>
      <c r="E10" s="7" t="s">
        <v>283</v>
      </c>
      <c r="F10" s="8" t="s">
        <v>284</v>
      </c>
      <c r="G10" s="10" t="s">
        <v>285</v>
      </c>
      <c r="H10" s="10" t="s">
        <v>169</v>
      </c>
      <c r="I10" s="10" t="s">
        <v>286</v>
      </c>
      <c r="J10" s="10" t="s">
        <v>288</v>
      </c>
      <c r="K10" s="13">
        <v>3.0</v>
      </c>
      <c r="L10" s="10" t="s">
        <v>290</v>
      </c>
      <c r="M10" s="7">
        <f t="shared" si="1"/>
        <v>3</v>
      </c>
      <c r="N10" s="13" t="s">
        <v>41</v>
      </c>
    </row>
    <row r="11">
      <c r="A11" s="7">
        <v>7.0</v>
      </c>
      <c r="B11" s="7" t="s">
        <v>63</v>
      </c>
      <c r="C11" s="7">
        <v>2.0</v>
      </c>
      <c r="D11" s="10" t="s">
        <v>282</v>
      </c>
      <c r="E11" s="7" t="s">
        <v>292</v>
      </c>
      <c r="F11" s="8" t="s">
        <v>293</v>
      </c>
      <c r="G11" s="10" t="s">
        <v>388</v>
      </c>
      <c r="H11" s="10" t="s">
        <v>169</v>
      </c>
      <c r="I11" s="10" t="s">
        <v>389</v>
      </c>
      <c r="J11" s="10" t="s">
        <v>391</v>
      </c>
      <c r="K11" s="13">
        <v>5.0</v>
      </c>
      <c r="L11" s="10"/>
      <c r="M11" s="7">
        <f t="shared" si="1"/>
        <v>0</v>
      </c>
      <c r="N11" s="13" t="s">
        <v>41</v>
      </c>
    </row>
    <row r="12">
      <c r="A12" s="7">
        <v>8.0</v>
      </c>
      <c r="B12" s="7" t="s">
        <v>63</v>
      </c>
      <c r="C12" s="7">
        <v>2.0</v>
      </c>
      <c r="D12" s="10" t="s">
        <v>282</v>
      </c>
      <c r="E12" s="7" t="s">
        <v>396</v>
      </c>
      <c r="F12" s="8" t="s">
        <v>397</v>
      </c>
      <c r="G12" s="10" t="s">
        <v>399</v>
      </c>
      <c r="H12" s="10" t="s">
        <v>277</v>
      </c>
      <c r="I12" s="10" t="s">
        <v>401</v>
      </c>
      <c r="J12" s="10" t="s">
        <v>402</v>
      </c>
      <c r="K12" s="13">
        <v>3.0</v>
      </c>
      <c r="L12" s="10"/>
      <c r="M12" s="7">
        <f t="shared" si="1"/>
        <v>0</v>
      </c>
      <c r="N12" s="13" t="s">
        <v>41</v>
      </c>
    </row>
    <row r="13">
      <c r="A13" s="7">
        <v>9.0</v>
      </c>
      <c r="B13" s="7" t="s">
        <v>63</v>
      </c>
      <c r="C13" s="7">
        <v>2.0</v>
      </c>
      <c r="D13" s="10" t="s">
        <v>282</v>
      </c>
      <c r="E13" s="7" t="s">
        <v>411</v>
      </c>
      <c r="F13" s="8" t="s">
        <v>412</v>
      </c>
      <c r="G13" s="10" t="s">
        <v>414</v>
      </c>
      <c r="H13" s="10" t="s">
        <v>415</v>
      </c>
      <c r="I13" s="10" t="s">
        <v>416</v>
      </c>
      <c r="J13" s="10" t="s">
        <v>418</v>
      </c>
      <c r="K13" s="13">
        <v>2.0</v>
      </c>
      <c r="L13" s="10"/>
      <c r="M13" s="7">
        <f t="shared" si="1"/>
        <v>0</v>
      </c>
      <c r="N13" s="13" t="s">
        <v>41</v>
      </c>
    </row>
    <row r="14">
      <c r="A14" s="7">
        <v>10.0</v>
      </c>
      <c r="B14" s="7" t="s">
        <v>63</v>
      </c>
      <c r="C14" s="7">
        <v>3.0</v>
      </c>
      <c r="D14" s="10" t="s">
        <v>425</v>
      </c>
      <c r="E14" s="7" t="s">
        <v>376</v>
      </c>
      <c r="F14" s="8" t="s">
        <v>426</v>
      </c>
      <c r="G14" s="10" t="s">
        <v>427</v>
      </c>
      <c r="H14" s="10" t="s">
        <v>411</v>
      </c>
      <c r="I14" s="10" t="s">
        <v>372</v>
      </c>
      <c r="J14" s="10" t="s">
        <v>429</v>
      </c>
      <c r="K14" s="13">
        <v>5.0</v>
      </c>
      <c r="L14" s="10" t="s">
        <v>431</v>
      </c>
      <c r="M14" s="7">
        <f t="shared" si="1"/>
        <v>4</v>
      </c>
      <c r="N14" s="13" t="s">
        <v>41</v>
      </c>
    </row>
    <row r="15">
      <c r="A15" s="7">
        <v>11.0</v>
      </c>
      <c r="B15" s="7" t="s">
        <v>63</v>
      </c>
      <c r="C15" s="7">
        <v>3.0</v>
      </c>
      <c r="D15" s="10" t="s">
        <v>425</v>
      </c>
      <c r="E15" s="7" t="s">
        <v>434</v>
      </c>
      <c r="F15" s="8" t="s">
        <v>435</v>
      </c>
      <c r="G15" s="10" t="s">
        <v>436</v>
      </c>
      <c r="H15" s="10" t="s">
        <v>376</v>
      </c>
      <c r="I15" s="10" t="s">
        <v>372</v>
      </c>
      <c r="J15" s="10" t="s">
        <v>438</v>
      </c>
      <c r="K15" s="13">
        <v>1.0</v>
      </c>
      <c r="L15" s="10"/>
      <c r="M15" s="7">
        <f t="shared" si="1"/>
        <v>0</v>
      </c>
      <c r="N15" s="13" t="s">
        <v>41</v>
      </c>
    </row>
    <row r="16">
      <c r="A16" s="7">
        <v>12.0</v>
      </c>
      <c r="B16" s="7" t="s">
        <v>63</v>
      </c>
      <c r="C16" s="7">
        <v>3.0</v>
      </c>
      <c r="D16" s="10" t="s">
        <v>425</v>
      </c>
      <c r="E16" s="7" t="s">
        <v>444</v>
      </c>
      <c r="F16" s="8" t="s">
        <v>445</v>
      </c>
      <c r="G16" s="10" t="s">
        <v>446</v>
      </c>
      <c r="H16" s="10" t="s">
        <v>434</v>
      </c>
      <c r="I16" s="10" t="s">
        <v>447</v>
      </c>
      <c r="J16" s="10" t="s">
        <v>449</v>
      </c>
      <c r="K16" s="13">
        <v>30.0</v>
      </c>
      <c r="L16" s="10" t="s">
        <v>448</v>
      </c>
      <c r="M16" s="7">
        <f t="shared" si="1"/>
        <v>1</v>
      </c>
      <c r="N16" s="13" t="s">
        <v>41</v>
      </c>
    </row>
    <row r="17">
      <c r="A17" s="7">
        <v>13.0</v>
      </c>
      <c r="B17" s="7" t="s">
        <v>63</v>
      </c>
      <c r="C17" s="7">
        <v>3.0</v>
      </c>
      <c r="D17" s="10" t="s">
        <v>425</v>
      </c>
      <c r="E17" s="7" t="s">
        <v>453</v>
      </c>
      <c r="F17" s="8" t="s">
        <v>455</v>
      </c>
      <c r="G17" s="10" t="s">
        <v>457</v>
      </c>
      <c r="H17" s="10" t="s">
        <v>444</v>
      </c>
      <c r="I17" s="10" t="s">
        <v>407</v>
      </c>
      <c r="J17" s="10" t="s">
        <v>458</v>
      </c>
      <c r="K17" s="13">
        <v>3.0</v>
      </c>
      <c r="L17" s="10" t="s">
        <v>460</v>
      </c>
      <c r="M17" s="7">
        <f t="shared" si="1"/>
        <v>1</v>
      </c>
      <c r="N17" s="13" t="s">
        <v>41</v>
      </c>
    </row>
    <row r="18">
      <c r="A18" s="7">
        <v>14.0</v>
      </c>
      <c r="B18" s="7" t="s">
        <v>63</v>
      </c>
      <c r="C18" s="7">
        <v>3.0</v>
      </c>
      <c r="D18" s="10" t="s">
        <v>425</v>
      </c>
      <c r="E18" s="7" t="s">
        <v>468</v>
      </c>
      <c r="F18" s="8" t="s">
        <v>469</v>
      </c>
      <c r="G18" s="10" t="s">
        <v>470</v>
      </c>
      <c r="H18" s="10" t="s">
        <v>453</v>
      </c>
      <c r="I18" s="10" t="s">
        <v>389</v>
      </c>
      <c r="J18" s="10" t="s">
        <v>471</v>
      </c>
      <c r="K18" s="13">
        <v>15.0</v>
      </c>
      <c r="L18" s="10" t="s">
        <v>473</v>
      </c>
      <c r="M18" s="7">
        <f t="shared" si="1"/>
        <v>1</v>
      </c>
      <c r="N18" s="13" t="s">
        <v>41</v>
      </c>
    </row>
    <row r="19">
      <c r="A19" s="7">
        <v>15.0</v>
      </c>
      <c r="B19" s="7" t="s">
        <v>63</v>
      </c>
      <c r="C19" s="7">
        <v>4.0</v>
      </c>
      <c r="D19" s="10" t="s">
        <v>421</v>
      </c>
      <c r="E19" s="7" t="s">
        <v>476</v>
      </c>
      <c r="F19" s="8" t="s">
        <v>477</v>
      </c>
      <c r="G19" s="10" t="s">
        <v>478</v>
      </c>
      <c r="H19" s="10" t="s">
        <v>411</v>
      </c>
      <c r="I19" s="10" t="s">
        <v>407</v>
      </c>
      <c r="J19" s="10" t="s">
        <v>479</v>
      </c>
      <c r="K19" s="13">
        <v>5.0</v>
      </c>
      <c r="L19" s="10"/>
      <c r="M19" s="7">
        <f t="shared" si="1"/>
        <v>0</v>
      </c>
      <c r="N19" s="13" t="s">
        <v>41</v>
      </c>
    </row>
    <row r="20">
      <c r="A20" s="7">
        <v>16.0</v>
      </c>
      <c r="B20" s="7" t="s">
        <v>63</v>
      </c>
      <c r="C20" s="7">
        <v>4.0</v>
      </c>
      <c r="D20" s="10" t="s">
        <v>421</v>
      </c>
      <c r="E20" s="7" t="s">
        <v>482</v>
      </c>
      <c r="F20" s="8" t="s">
        <v>483</v>
      </c>
      <c r="G20" s="10" t="s">
        <v>484</v>
      </c>
      <c r="H20" s="10" t="s">
        <v>485</v>
      </c>
      <c r="I20" s="10" t="s">
        <v>280</v>
      </c>
      <c r="J20" s="10" t="s">
        <v>486</v>
      </c>
      <c r="K20" s="13">
        <v>7.0</v>
      </c>
      <c r="L20" s="10" t="s">
        <v>488</v>
      </c>
      <c r="M20" s="7">
        <f t="shared" si="1"/>
        <v>1</v>
      </c>
      <c r="N20" s="13" t="s">
        <v>41</v>
      </c>
    </row>
    <row r="21" ht="15.75" customHeight="1">
      <c r="A21" s="7">
        <v>17.0</v>
      </c>
      <c r="B21" s="7" t="s">
        <v>63</v>
      </c>
      <c r="C21" s="7">
        <v>4.0</v>
      </c>
      <c r="D21" s="10" t="s">
        <v>421</v>
      </c>
      <c r="E21" s="7" t="s">
        <v>422</v>
      </c>
      <c r="F21" s="8" t="s">
        <v>492</v>
      </c>
      <c r="G21" s="10" t="s">
        <v>493</v>
      </c>
      <c r="H21" s="10" t="s">
        <v>482</v>
      </c>
      <c r="I21" s="10" t="s">
        <v>494</v>
      </c>
      <c r="J21" s="10" t="s">
        <v>495</v>
      </c>
      <c r="K21" s="13">
        <v>10.0</v>
      </c>
      <c r="L21" s="10" t="s">
        <v>496</v>
      </c>
      <c r="M21" s="7">
        <f t="shared" si="1"/>
        <v>3</v>
      </c>
      <c r="N21" s="13" t="s">
        <v>41</v>
      </c>
    </row>
    <row r="22" ht="15.75" customHeight="1">
      <c r="A22" s="7">
        <v>18.0</v>
      </c>
      <c r="B22" s="7" t="s">
        <v>63</v>
      </c>
      <c r="C22" s="7">
        <v>4.0</v>
      </c>
      <c r="D22" s="10" t="s">
        <v>421</v>
      </c>
      <c r="E22" s="7" t="s">
        <v>499</v>
      </c>
      <c r="F22" s="8" t="s">
        <v>500</v>
      </c>
      <c r="G22" s="10" t="s">
        <v>501</v>
      </c>
      <c r="H22" s="10" t="s">
        <v>422</v>
      </c>
      <c r="I22" s="10" t="s">
        <v>502</v>
      </c>
      <c r="J22" s="10" t="s">
        <v>503</v>
      </c>
      <c r="K22" s="13">
        <v>5.0</v>
      </c>
      <c r="L22" s="10"/>
      <c r="M22" s="7">
        <f t="shared" si="1"/>
        <v>0</v>
      </c>
      <c r="N22" s="13" t="s">
        <v>41</v>
      </c>
    </row>
    <row r="23" ht="15.75" customHeight="1">
      <c r="A23" s="7">
        <v>19.0</v>
      </c>
      <c r="B23" s="7" t="s">
        <v>63</v>
      </c>
      <c r="C23" s="7">
        <v>5.0</v>
      </c>
      <c r="D23" s="10" t="s">
        <v>464</v>
      </c>
      <c r="E23" s="7" t="s">
        <v>504</v>
      </c>
      <c r="F23" s="8" t="s">
        <v>505</v>
      </c>
      <c r="G23" s="10" t="s">
        <v>506</v>
      </c>
      <c r="H23" s="10" t="s">
        <v>422</v>
      </c>
      <c r="I23" s="10" t="s">
        <v>507</v>
      </c>
      <c r="J23" s="10" t="s">
        <v>508</v>
      </c>
      <c r="K23" s="13">
        <v>2.0</v>
      </c>
      <c r="L23" s="10" t="s">
        <v>509</v>
      </c>
      <c r="M23" s="7">
        <f t="shared" si="1"/>
        <v>1</v>
      </c>
      <c r="N23" s="13" t="s">
        <v>41</v>
      </c>
    </row>
    <row r="24" ht="15.75" customHeight="1">
      <c r="A24" s="7">
        <v>20.0</v>
      </c>
      <c r="B24" s="7" t="s">
        <v>63</v>
      </c>
      <c r="C24" s="7">
        <v>5.0</v>
      </c>
      <c r="D24" s="10" t="s">
        <v>464</v>
      </c>
      <c r="E24" s="7" t="s">
        <v>465</v>
      </c>
      <c r="F24" s="8" t="s">
        <v>510</v>
      </c>
      <c r="G24" s="10" t="s">
        <v>511</v>
      </c>
      <c r="H24" s="10" t="s">
        <v>504</v>
      </c>
      <c r="I24" s="10" t="s">
        <v>462</v>
      </c>
      <c r="J24" s="10" t="s">
        <v>513</v>
      </c>
      <c r="K24" s="13">
        <v>30.0</v>
      </c>
      <c r="L24" s="10" t="s">
        <v>459</v>
      </c>
      <c r="M24" s="7">
        <f t="shared" si="1"/>
        <v>1</v>
      </c>
      <c r="N24" s="13" t="s">
        <v>41</v>
      </c>
    </row>
    <row r="25" ht="15.75" customHeight="1">
      <c r="A25" s="7">
        <v>21.0</v>
      </c>
      <c r="B25" s="7" t="s">
        <v>63</v>
      </c>
      <c r="C25" s="7">
        <v>5.0</v>
      </c>
      <c r="D25" s="10" t="s">
        <v>464</v>
      </c>
      <c r="E25" s="7" t="s">
        <v>515</v>
      </c>
      <c r="F25" s="8" t="s">
        <v>516</v>
      </c>
      <c r="G25" s="10" t="s">
        <v>517</v>
      </c>
      <c r="H25" s="10" t="s">
        <v>504</v>
      </c>
      <c r="I25" s="10" t="s">
        <v>518</v>
      </c>
      <c r="J25" s="10" t="s">
        <v>513</v>
      </c>
      <c r="K25" s="13">
        <v>30.0</v>
      </c>
      <c r="L25" s="10"/>
      <c r="M25" s="7">
        <f t="shared" si="1"/>
        <v>0</v>
      </c>
      <c r="N25" s="13" t="s">
        <v>41</v>
      </c>
    </row>
    <row r="26" ht="15.75" customHeight="1">
      <c r="A26" s="7">
        <v>22.0</v>
      </c>
      <c r="B26" s="7" t="s">
        <v>63</v>
      </c>
      <c r="C26" s="7">
        <v>5.0</v>
      </c>
      <c r="D26" s="10" t="s">
        <v>464</v>
      </c>
      <c r="E26" s="7" t="s">
        <v>519</v>
      </c>
      <c r="F26" s="8" t="s">
        <v>520</v>
      </c>
      <c r="G26" s="10" t="s">
        <v>522</v>
      </c>
      <c r="H26" s="10" t="s">
        <v>504</v>
      </c>
      <c r="I26" s="10" t="s">
        <v>524</v>
      </c>
      <c r="J26" s="10" t="s">
        <v>525</v>
      </c>
      <c r="K26" s="13">
        <v>15.0</v>
      </c>
      <c r="L26" s="10" t="s">
        <v>526</v>
      </c>
      <c r="M26" s="7">
        <f t="shared" si="1"/>
        <v>1</v>
      </c>
      <c r="N26" s="13" t="s">
        <v>41</v>
      </c>
    </row>
    <row r="27" ht="15.75" customHeight="1">
      <c r="A27" s="7">
        <v>23.0</v>
      </c>
      <c r="B27" s="7" t="s">
        <v>63</v>
      </c>
      <c r="C27" s="7">
        <v>5.0</v>
      </c>
      <c r="D27" s="10" t="s">
        <v>464</v>
      </c>
      <c r="E27" s="7" t="s">
        <v>528</v>
      </c>
      <c r="F27" s="8" t="s">
        <v>529</v>
      </c>
      <c r="G27" s="10" t="s">
        <v>531</v>
      </c>
      <c r="H27" s="10" t="s">
        <v>504</v>
      </c>
      <c r="I27" s="10" t="s">
        <v>533</v>
      </c>
      <c r="J27" s="10" t="s">
        <v>534</v>
      </c>
      <c r="K27" s="13">
        <v>15.0</v>
      </c>
      <c r="L27" s="10" t="s">
        <v>535</v>
      </c>
      <c r="M27" s="7">
        <f t="shared" si="1"/>
        <v>2</v>
      </c>
      <c r="N27" s="13" t="s">
        <v>41</v>
      </c>
    </row>
    <row r="28" ht="15.75" customHeight="1">
      <c r="A28" s="7">
        <v>24.0</v>
      </c>
      <c r="B28" s="7" t="s">
        <v>63</v>
      </c>
      <c r="C28" s="7">
        <v>6.0</v>
      </c>
      <c r="D28" s="10" t="s">
        <v>538</v>
      </c>
      <c r="E28" s="7" t="s">
        <v>539</v>
      </c>
      <c r="F28" s="8" t="s">
        <v>540</v>
      </c>
      <c r="G28" s="10" t="s">
        <v>541</v>
      </c>
      <c r="H28" s="10"/>
      <c r="I28" s="10" t="s">
        <v>372</v>
      </c>
      <c r="J28" s="10" t="s">
        <v>542</v>
      </c>
      <c r="K28" s="13">
        <v>1.0</v>
      </c>
      <c r="L28" s="10"/>
      <c r="M28" s="7">
        <f t="shared" si="1"/>
        <v>0</v>
      </c>
      <c r="N28" s="13" t="s">
        <v>41</v>
      </c>
    </row>
    <row r="29" ht="15.75" customHeight="1">
      <c r="A29" s="7">
        <v>25.0</v>
      </c>
      <c r="B29" s="7" t="s">
        <v>63</v>
      </c>
      <c r="C29" s="7">
        <v>6.0</v>
      </c>
      <c r="D29" s="10" t="s">
        <v>538</v>
      </c>
      <c r="E29" s="7" t="s">
        <v>543</v>
      </c>
      <c r="F29" s="8" t="s">
        <v>547</v>
      </c>
      <c r="G29" s="10" t="s">
        <v>548</v>
      </c>
      <c r="H29" s="10" t="s">
        <v>549</v>
      </c>
      <c r="I29" s="10" t="s">
        <v>372</v>
      </c>
      <c r="J29" s="10" t="s">
        <v>551</v>
      </c>
      <c r="K29" s="13">
        <v>2.0</v>
      </c>
      <c r="L29" s="10" t="s">
        <v>552</v>
      </c>
      <c r="M29" s="7">
        <f t="shared" si="1"/>
        <v>7</v>
      </c>
      <c r="N29" s="13" t="s">
        <v>41</v>
      </c>
    </row>
    <row r="30" ht="15.75" customHeight="1">
      <c r="A30" s="7">
        <v>26.0</v>
      </c>
      <c r="B30" s="7" t="s">
        <v>63</v>
      </c>
      <c r="C30" s="7">
        <v>6.0</v>
      </c>
      <c r="D30" s="10" t="s">
        <v>538</v>
      </c>
      <c r="E30" s="7" t="s">
        <v>553</v>
      </c>
      <c r="F30" s="8" t="s">
        <v>554</v>
      </c>
      <c r="G30" s="10" t="s">
        <v>555</v>
      </c>
      <c r="H30" s="10" t="s">
        <v>543</v>
      </c>
      <c r="I30" s="10" t="s">
        <v>407</v>
      </c>
      <c r="J30" s="10" t="s">
        <v>498</v>
      </c>
      <c r="K30" s="13">
        <v>1.0</v>
      </c>
      <c r="L30" s="10" t="s">
        <v>557</v>
      </c>
      <c r="M30" s="7">
        <f t="shared" si="1"/>
        <v>1</v>
      </c>
      <c r="N30" s="13" t="s">
        <v>41</v>
      </c>
    </row>
    <row r="31" ht="15.75" customHeight="1">
      <c r="A31" s="7">
        <v>27.0</v>
      </c>
      <c r="B31" s="7" t="s">
        <v>63</v>
      </c>
      <c r="C31" s="7">
        <v>6.0</v>
      </c>
      <c r="D31" s="10" t="s">
        <v>538</v>
      </c>
      <c r="E31" s="7" t="s">
        <v>560</v>
      </c>
      <c r="F31" s="8" t="s">
        <v>561</v>
      </c>
      <c r="G31" s="10" t="s">
        <v>562</v>
      </c>
      <c r="H31" s="10" t="s">
        <v>553</v>
      </c>
      <c r="I31" s="10" t="s">
        <v>533</v>
      </c>
      <c r="J31" s="10" t="s">
        <v>563</v>
      </c>
      <c r="K31" s="13">
        <v>15.0</v>
      </c>
      <c r="L31" s="10" t="s">
        <v>564</v>
      </c>
      <c r="M31" s="7">
        <f t="shared" si="1"/>
        <v>1</v>
      </c>
      <c r="N31" s="13" t="s">
        <v>41</v>
      </c>
    </row>
    <row r="32" ht="15.75" customHeight="1">
      <c r="A32" s="7">
        <v>28.0</v>
      </c>
      <c r="B32" s="7" t="s">
        <v>63</v>
      </c>
      <c r="C32" s="7">
        <v>7.0</v>
      </c>
      <c r="D32" s="10" t="s">
        <v>568</v>
      </c>
      <c r="E32" s="7" t="s">
        <v>569</v>
      </c>
      <c r="F32" s="8" t="s">
        <v>571</v>
      </c>
      <c r="G32" s="10" t="s">
        <v>572</v>
      </c>
      <c r="H32" s="10" t="s">
        <v>560</v>
      </c>
      <c r="I32" s="10" t="s">
        <v>389</v>
      </c>
      <c r="J32" s="10" t="s">
        <v>449</v>
      </c>
      <c r="K32" s="13">
        <v>15.0</v>
      </c>
      <c r="L32" s="10"/>
      <c r="M32" s="7">
        <f t="shared" si="1"/>
        <v>0</v>
      </c>
      <c r="N32" s="13" t="s">
        <v>41</v>
      </c>
    </row>
    <row r="33" ht="15.75" customHeight="1">
      <c r="A33" s="7">
        <v>29.0</v>
      </c>
      <c r="B33" s="7" t="s">
        <v>63</v>
      </c>
      <c r="C33" s="7">
        <v>7.0</v>
      </c>
      <c r="D33" s="10" t="s">
        <v>568</v>
      </c>
      <c r="E33" s="7" t="s">
        <v>574</v>
      </c>
      <c r="F33" s="8" t="s">
        <v>576</v>
      </c>
      <c r="G33" s="10" t="s">
        <v>578</v>
      </c>
      <c r="H33" s="10" t="s">
        <v>569</v>
      </c>
      <c r="I33" s="10" t="s">
        <v>494</v>
      </c>
      <c r="J33" s="10" t="s">
        <v>580</v>
      </c>
      <c r="K33" s="13">
        <v>10.0</v>
      </c>
      <c r="L33" s="10" t="s">
        <v>581</v>
      </c>
      <c r="M33" s="7">
        <f t="shared" si="1"/>
        <v>1</v>
      </c>
      <c r="N33" s="13" t="s">
        <v>41</v>
      </c>
    </row>
    <row r="34" ht="15.75" customHeight="1">
      <c r="A34" s="7">
        <v>30.0</v>
      </c>
      <c r="B34" s="7" t="s">
        <v>63</v>
      </c>
      <c r="C34" s="7">
        <v>7.0</v>
      </c>
      <c r="D34" s="10" t="s">
        <v>568</v>
      </c>
      <c r="E34" s="7" t="s">
        <v>582</v>
      </c>
      <c r="F34" s="8" t="s">
        <v>583</v>
      </c>
      <c r="G34" s="10" t="s">
        <v>584</v>
      </c>
      <c r="H34" s="10" t="s">
        <v>574</v>
      </c>
      <c r="I34" s="10" t="s">
        <v>389</v>
      </c>
      <c r="J34" s="10" t="s">
        <v>585</v>
      </c>
      <c r="K34" s="13">
        <v>15.0</v>
      </c>
      <c r="L34" s="10"/>
      <c r="M34" s="7">
        <f t="shared" si="1"/>
        <v>0</v>
      </c>
      <c r="N34" s="13" t="s">
        <v>41</v>
      </c>
    </row>
    <row r="35" ht="15.75" customHeight="1">
      <c r="A35" s="7">
        <v>31.0</v>
      </c>
      <c r="B35" s="7" t="s">
        <v>63</v>
      </c>
      <c r="C35" s="7">
        <v>8.0</v>
      </c>
      <c r="D35" s="10" t="s">
        <v>589</v>
      </c>
      <c r="E35" s="7" t="s">
        <v>591</v>
      </c>
      <c r="F35" s="8" t="s">
        <v>592</v>
      </c>
      <c r="G35" s="10" t="s">
        <v>593</v>
      </c>
      <c r="H35" s="10" t="s">
        <v>582</v>
      </c>
      <c r="I35" s="10" t="s">
        <v>594</v>
      </c>
      <c r="J35" s="10" t="s">
        <v>595</v>
      </c>
      <c r="K35" s="13">
        <v>5.0</v>
      </c>
      <c r="L35" s="10"/>
      <c r="M35" s="7">
        <f t="shared" si="1"/>
        <v>0</v>
      </c>
      <c r="N35" s="13" t="s">
        <v>41</v>
      </c>
    </row>
    <row r="36" ht="15.75" customHeight="1">
      <c r="A36" s="7">
        <v>32.0</v>
      </c>
      <c r="B36" s="7" t="s">
        <v>63</v>
      </c>
      <c r="C36" s="7">
        <v>8.0</v>
      </c>
      <c r="D36" s="10" t="s">
        <v>589</v>
      </c>
      <c r="E36" s="7" t="s">
        <v>599</v>
      </c>
      <c r="F36" s="8" t="s">
        <v>601</v>
      </c>
      <c r="G36" s="10" t="s">
        <v>602</v>
      </c>
      <c r="H36" s="10" t="s">
        <v>591</v>
      </c>
      <c r="I36" s="10" t="s">
        <v>407</v>
      </c>
      <c r="J36" s="10" t="s">
        <v>603</v>
      </c>
      <c r="K36" s="13">
        <v>5.0</v>
      </c>
      <c r="L36" s="10" t="s">
        <v>604</v>
      </c>
      <c r="M36" s="7">
        <f t="shared" si="1"/>
        <v>2</v>
      </c>
      <c r="N36" s="13" t="s">
        <v>41</v>
      </c>
    </row>
    <row r="37" ht="15.75" customHeight="1">
      <c r="A37" s="7">
        <v>33.0</v>
      </c>
      <c r="B37" s="7" t="s">
        <v>63</v>
      </c>
      <c r="C37" s="7">
        <v>9.0</v>
      </c>
      <c r="D37" s="10" t="s">
        <v>607</v>
      </c>
      <c r="E37" s="7" t="s">
        <v>609</v>
      </c>
      <c r="F37" s="8" t="s">
        <v>366</v>
      </c>
      <c r="G37" s="10" t="s">
        <v>610</v>
      </c>
      <c r="H37" s="10" t="s">
        <v>599</v>
      </c>
      <c r="I37" s="10" t="s">
        <v>253</v>
      </c>
      <c r="J37" s="10" t="s">
        <v>611</v>
      </c>
      <c r="K37" s="13">
        <v>7.0</v>
      </c>
      <c r="L37" s="10" t="s">
        <v>612</v>
      </c>
      <c r="M37" s="7">
        <f t="shared" si="1"/>
        <v>13</v>
      </c>
      <c r="N37" s="13" t="s">
        <v>41</v>
      </c>
    </row>
    <row r="38" ht="15.75" customHeight="1">
      <c r="A38" s="7">
        <v>34.0</v>
      </c>
      <c r="B38" s="7" t="s">
        <v>63</v>
      </c>
      <c r="C38" s="7">
        <v>9.0</v>
      </c>
      <c r="D38" s="10" t="s">
        <v>607</v>
      </c>
      <c r="E38" s="7" t="s">
        <v>614</v>
      </c>
      <c r="F38" s="8" t="s">
        <v>615</v>
      </c>
      <c r="G38" s="10" t="s">
        <v>616</v>
      </c>
      <c r="H38" s="10" t="s">
        <v>609</v>
      </c>
      <c r="I38" s="10" t="s">
        <v>389</v>
      </c>
      <c r="J38" s="10" t="s">
        <v>619</v>
      </c>
      <c r="K38" s="13">
        <v>15.0</v>
      </c>
      <c r="L38" s="10" t="s">
        <v>620</v>
      </c>
      <c r="M38" s="7">
        <f t="shared" si="1"/>
        <v>2</v>
      </c>
      <c r="N38" s="13" t="s">
        <v>41</v>
      </c>
    </row>
    <row r="39" ht="15.75" customHeight="1">
      <c r="A39" s="7">
        <v>35.0</v>
      </c>
      <c r="B39" s="7" t="s">
        <v>63</v>
      </c>
      <c r="C39" s="7">
        <v>9.0</v>
      </c>
      <c r="D39" s="10" t="s">
        <v>607</v>
      </c>
      <c r="E39" s="7" t="s">
        <v>624</v>
      </c>
      <c r="F39" s="8" t="s">
        <v>625</v>
      </c>
      <c r="G39" s="10" t="s">
        <v>626</v>
      </c>
      <c r="H39" s="10" t="s">
        <v>614</v>
      </c>
      <c r="I39" s="10" t="s">
        <v>533</v>
      </c>
      <c r="J39" s="10" t="s">
        <v>627</v>
      </c>
      <c r="K39" s="13">
        <v>15.0</v>
      </c>
      <c r="L39" s="10" t="s">
        <v>628</v>
      </c>
      <c r="M39" s="7">
        <f t="shared" si="1"/>
        <v>1</v>
      </c>
      <c r="N39" s="13" t="s">
        <v>41</v>
      </c>
    </row>
    <row r="40" ht="15.75" customHeight="1">
      <c r="A40" s="7">
        <v>36.0</v>
      </c>
      <c r="B40" s="7" t="s">
        <v>63</v>
      </c>
      <c r="C40" s="7">
        <v>10.0</v>
      </c>
      <c r="D40" s="10" t="s">
        <v>631</v>
      </c>
      <c r="E40" s="7" t="s">
        <v>632</v>
      </c>
      <c r="F40" s="8" t="s">
        <v>170</v>
      </c>
      <c r="G40" s="10" t="s">
        <v>633</v>
      </c>
      <c r="H40" s="10" t="s">
        <v>624</v>
      </c>
      <c r="I40" s="10" t="s">
        <v>634</v>
      </c>
      <c r="J40" s="10" t="s">
        <v>170</v>
      </c>
      <c r="K40" s="13">
        <v>45.0</v>
      </c>
      <c r="L40" s="10"/>
      <c r="M40" s="7">
        <f t="shared" si="1"/>
        <v>0</v>
      </c>
      <c r="N40" s="13" t="s">
        <v>41</v>
      </c>
    </row>
    <row r="41" ht="15.75" customHeight="1">
      <c r="A41" s="7">
        <v>37.0</v>
      </c>
      <c r="B41" s="7" t="s">
        <v>63</v>
      </c>
      <c r="C41" s="7">
        <v>10.0</v>
      </c>
      <c r="D41" s="10" t="s">
        <v>631</v>
      </c>
      <c r="E41" s="7" t="s">
        <v>637</v>
      </c>
      <c r="F41" s="8" t="s">
        <v>638</v>
      </c>
      <c r="G41" s="10" t="s">
        <v>639</v>
      </c>
      <c r="H41" s="10" t="s">
        <v>624</v>
      </c>
      <c r="I41" s="10" t="s">
        <v>634</v>
      </c>
      <c r="J41" s="10" t="s">
        <v>638</v>
      </c>
      <c r="K41" s="13">
        <v>30.0</v>
      </c>
      <c r="L41" s="10"/>
      <c r="M41" s="7">
        <f t="shared" si="1"/>
        <v>0</v>
      </c>
      <c r="N41" s="13" t="s">
        <v>41</v>
      </c>
    </row>
    <row r="42" ht="15.75" customHeight="1">
      <c r="A42" s="7">
        <v>38.0</v>
      </c>
      <c r="B42" s="7" t="s">
        <v>63</v>
      </c>
      <c r="C42" s="7">
        <v>10.0</v>
      </c>
      <c r="D42" s="10" t="s">
        <v>631</v>
      </c>
      <c r="E42" s="7" t="s">
        <v>644</v>
      </c>
      <c r="F42" s="8" t="s">
        <v>645</v>
      </c>
      <c r="G42" s="10" t="s">
        <v>646</v>
      </c>
      <c r="H42" s="10" t="s">
        <v>624</v>
      </c>
      <c r="I42" s="10" t="s">
        <v>649</v>
      </c>
      <c r="J42" s="10" t="s">
        <v>650</v>
      </c>
      <c r="K42" s="13">
        <v>30.0</v>
      </c>
      <c r="L42" s="10"/>
      <c r="M42" s="7">
        <f t="shared" si="1"/>
        <v>0</v>
      </c>
      <c r="N42" s="13" t="s">
        <v>41</v>
      </c>
    </row>
    <row r="43" ht="15.75" customHeight="1">
      <c r="A43" s="7">
        <v>39.0</v>
      </c>
      <c r="B43" s="7" t="s">
        <v>63</v>
      </c>
      <c r="C43" s="7">
        <v>10.0</v>
      </c>
      <c r="D43" s="10" t="s">
        <v>631</v>
      </c>
      <c r="E43" s="7" t="s">
        <v>651</v>
      </c>
      <c r="F43" s="8" t="s">
        <v>652</v>
      </c>
      <c r="G43" s="10" t="s">
        <v>653</v>
      </c>
      <c r="H43" s="10" t="s">
        <v>624</v>
      </c>
      <c r="I43" s="10" t="s">
        <v>654</v>
      </c>
      <c r="J43" s="10" t="s">
        <v>655</v>
      </c>
      <c r="K43" s="13">
        <v>30.0</v>
      </c>
      <c r="L43" s="10"/>
      <c r="M43" s="7">
        <f t="shared" si="1"/>
        <v>0</v>
      </c>
      <c r="N43" s="13" t="s">
        <v>41</v>
      </c>
    </row>
    <row r="44" ht="15.75" customHeight="1">
      <c r="A44" s="7">
        <v>40.0</v>
      </c>
      <c r="B44" s="7" t="s">
        <v>63</v>
      </c>
      <c r="C44" s="7">
        <v>10.0</v>
      </c>
      <c r="D44" s="10" t="s">
        <v>631</v>
      </c>
      <c r="E44" s="7" t="s">
        <v>660</v>
      </c>
      <c r="F44" s="8" t="s">
        <v>661</v>
      </c>
      <c r="G44" s="10" t="s">
        <v>662</v>
      </c>
      <c r="H44" s="10" t="s">
        <v>624</v>
      </c>
      <c r="I44" s="10" t="s">
        <v>663</v>
      </c>
      <c r="J44" s="10" t="s">
        <v>664</v>
      </c>
      <c r="K44" s="13">
        <v>10.0</v>
      </c>
      <c r="L44" s="10"/>
      <c r="M44" s="7">
        <f t="shared" si="1"/>
        <v>0</v>
      </c>
      <c r="N44" s="13" t="s">
        <v>41</v>
      </c>
    </row>
    <row r="45" ht="15.75" customHeight="1">
      <c r="A45" s="7">
        <v>41.0</v>
      </c>
      <c r="B45" s="7" t="s">
        <v>63</v>
      </c>
      <c r="C45" s="7">
        <v>10.0</v>
      </c>
      <c r="D45" s="10" t="s">
        <v>631</v>
      </c>
      <c r="E45" s="7" t="s">
        <v>667</v>
      </c>
      <c r="F45" s="8" t="s">
        <v>668</v>
      </c>
      <c r="G45" s="10" t="s">
        <v>669</v>
      </c>
      <c r="H45" s="10" t="s">
        <v>671</v>
      </c>
      <c r="I45" s="10" t="s">
        <v>524</v>
      </c>
      <c r="J45" s="10" t="s">
        <v>449</v>
      </c>
      <c r="K45" s="13">
        <v>15.0</v>
      </c>
      <c r="L45" s="10" t="s">
        <v>673</v>
      </c>
      <c r="M45" s="7">
        <f t="shared" si="1"/>
        <v>1</v>
      </c>
      <c r="N45" s="13" t="s">
        <v>41</v>
      </c>
    </row>
    <row r="46" ht="15.75" customHeight="1">
      <c r="A46" s="7">
        <v>42.0</v>
      </c>
      <c r="B46" s="7" t="s">
        <v>63</v>
      </c>
      <c r="C46" s="7">
        <v>11.0</v>
      </c>
      <c r="D46" s="10" t="s">
        <v>676</v>
      </c>
      <c r="E46" s="7" t="s">
        <v>677</v>
      </c>
      <c r="F46" s="8" t="s">
        <v>678</v>
      </c>
      <c r="G46" s="10" t="s">
        <v>679</v>
      </c>
      <c r="H46" s="10" t="s">
        <v>667</v>
      </c>
      <c r="I46" s="10" t="s">
        <v>533</v>
      </c>
      <c r="J46" s="10" t="s">
        <v>680</v>
      </c>
      <c r="K46" s="13">
        <v>15.0</v>
      </c>
      <c r="L46" s="10" t="s">
        <v>682</v>
      </c>
      <c r="M46" s="7">
        <f t="shared" si="1"/>
        <v>2</v>
      </c>
      <c r="N46" s="13" t="s">
        <v>41</v>
      </c>
    </row>
    <row r="47" ht="15.75" customHeight="1">
      <c r="A47" s="7">
        <v>43.0</v>
      </c>
      <c r="B47" s="7" t="s">
        <v>63</v>
      </c>
      <c r="C47" s="7">
        <v>11.0</v>
      </c>
      <c r="D47" s="10" t="s">
        <v>676</v>
      </c>
      <c r="E47" s="7" t="s">
        <v>686</v>
      </c>
      <c r="F47" s="8" t="s">
        <v>687</v>
      </c>
      <c r="G47" s="10" t="s">
        <v>688</v>
      </c>
      <c r="H47" s="10" t="s">
        <v>677</v>
      </c>
      <c r="I47" s="10" t="s">
        <v>407</v>
      </c>
      <c r="J47" s="10" t="s">
        <v>690</v>
      </c>
      <c r="K47" s="13">
        <v>1.0</v>
      </c>
      <c r="L47" s="10"/>
      <c r="M47" s="7">
        <f t="shared" si="1"/>
        <v>0</v>
      </c>
      <c r="N47" s="13" t="s">
        <v>41</v>
      </c>
    </row>
    <row r="48" ht="15.75" customHeight="1">
      <c r="A48" s="7">
        <v>44.0</v>
      </c>
      <c r="B48" s="7" t="s">
        <v>63</v>
      </c>
      <c r="C48" s="7">
        <v>12.0</v>
      </c>
      <c r="D48" s="10" t="s">
        <v>367</v>
      </c>
      <c r="E48" s="7" t="s">
        <v>696</v>
      </c>
      <c r="F48" s="8" t="s">
        <v>697</v>
      </c>
      <c r="G48" s="10" t="s">
        <v>698</v>
      </c>
      <c r="H48" s="10" t="s">
        <v>624</v>
      </c>
      <c r="I48" s="10" t="s">
        <v>699</v>
      </c>
      <c r="J48" s="10" t="s">
        <v>700</v>
      </c>
      <c r="K48" s="13">
        <v>1.0</v>
      </c>
      <c r="L48" s="10" t="s">
        <v>702</v>
      </c>
      <c r="M48" s="7">
        <f t="shared" si="1"/>
        <v>1</v>
      </c>
      <c r="N48" s="13" t="s">
        <v>41</v>
      </c>
    </row>
    <row r="49" ht="15.75" customHeight="1">
      <c r="A49" s="7">
        <v>45.0</v>
      </c>
      <c r="B49" s="7" t="s">
        <v>63</v>
      </c>
      <c r="C49" s="7">
        <v>12.0</v>
      </c>
      <c r="D49" s="10" t="s">
        <v>367</v>
      </c>
      <c r="E49" s="7" t="s">
        <v>706</v>
      </c>
      <c r="F49" s="8" t="s">
        <v>707</v>
      </c>
      <c r="G49" s="10" t="s">
        <v>708</v>
      </c>
      <c r="H49" s="10" t="s">
        <v>696</v>
      </c>
      <c r="I49" s="10" t="s">
        <v>711</v>
      </c>
      <c r="J49" s="10" t="s">
        <v>712</v>
      </c>
      <c r="K49" s="13">
        <v>30.0</v>
      </c>
      <c r="L49" s="10" t="s">
        <v>713</v>
      </c>
      <c r="M49" s="7">
        <f t="shared" si="1"/>
        <v>15</v>
      </c>
      <c r="N49" s="13" t="s">
        <v>41</v>
      </c>
    </row>
    <row r="50" ht="15.75" customHeight="1">
      <c r="A50" s="7">
        <v>46.0</v>
      </c>
      <c r="B50" s="7" t="s">
        <v>63</v>
      </c>
      <c r="C50" s="7">
        <v>13.0</v>
      </c>
      <c r="D50" s="10" t="s">
        <v>717</v>
      </c>
      <c r="E50" s="7" t="s">
        <v>718</v>
      </c>
      <c r="F50" s="8" t="s">
        <v>720</v>
      </c>
      <c r="G50" s="10" t="s">
        <v>721</v>
      </c>
      <c r="H50" s="10" t="s">
        <v>677</v>
      </c>
      <c r="I50" s="10" t="s">
        <v>722</v>
      </c>
      <c r="J50" s="10" t="s">
        <v>720</v>
      </c>
      <c r="K50" s="13">
        <v>30.0</v>
      </c>
      <c r="L50" s="10" t="s">
        <v>723</v>
      </c>
      <c r="M50" s="7">
        <f t="shared" si="1"/>
        <v>1</v>
      </c>
      <c r="N50" s="13" t="s">
        <v>41</v>
      </c>
    </row>
    <row r="51" ht="15.75" customHeight="1">
      <c r="A51" s="7">
        <v>47.0</v>
      </c>
      <c r="B51" s="7" t="s">
        <v>63</v>
      </c>
      <c r="C51" s="7">
        <v>13.0</v>
      </c>
      <c r="D51" s="10" t="s">
        <v>717</v>
      </c>
      <c r="E51" s="7" t="s">
        <v>725</v>
      </c>
      <c r="F51" s="8" t="s">
        <v>726</v>
      </c>
      <c r="G51" s="10" t="s">
        <v>727</v>
      </c>
      <c r="H51" s="10" t="s">
        <v>728</v>
      </c>
      <c r="I51" s="10" t="s">
        <v>729</v>
      </c>
      <c r="J51" s="10" t="s">
        <v>730</v>
      </c>
      <c r="K51" s="13">
        <v>30.0</v>
      </c>
      <c r="L51" s="10" t="s">
        <v>731</v>
      </c>
      <c r="M51" s="7">
        <f t="shared" si="1"/>
        <v>7</v>
      </c>
      <c r="N51" s="13" t="s">
        <v>41</v>
      </c>
    </row>
    <row r="52" ht="15.75" customHeight="1">
      <c r="A52" s="7">
        <v>48.0</v>
      </c>
      <c r="B52" s="7" t="s">
        <v>63</v>
      </c>
      <c r="C52" s="7">
        <v>13.0</v>
      </c>
      <c r="D52" s="10" t="s">
        <v>717</v>
      </c>
      <c r="E52" s="7" t="s">
        <v>732</v>
      </c>
      <c r="F52" s="8" t="s">
        <v>733</v>
      </c>
      <c r="G52" s="10" t="s">
        <v>736</v>
      </c>
      <c r="H52" s="10" t="s">
        <v>737</v>
      </c>
      <c r="I52" s="10" t="s">
        <v>691</v>
      </c>
      <c r="J52" s="10" t="s">
        <v>738</v>
      </c>
      <c r="K52" s="13">
        <v>15.0</v>
      </c>
      <c r="L52" s="10" t="s">
        <v>739</v>
      </c>
      <c r="M52" s="7">
        <f t="shared" si="1"/>
        <v>5</v>
      </c>
      <c r="N52" s="13" t="s">
        <v>41</v>
      </c>
    </row>
    <row r="53" ht="15.75" customHeight="1">
      <c r="A53" s="7">
        <v>49.0</v>
      </c>
      <c r="B53" s="7" t="s">
        <v>63</v>
      </c>
      <c r="C53" s="7">
        <v>13.0</v>
      </c>
      <c r="D53" s="10" t="s">
        <v>717</v>
      </c>
      <c r="E53" s="7" t="s">
        <v>742</v>
      </c>
      <c r="F53" s="8" t="s">
        <v>743</v>
      </c>
      <c r="G53" s="10" t="s">
        <v>744</v>
      </c>
      <c r="H53" s="10" t="s">
        <v>732</v>
      </c>
      <c r="I53" s="10" t="s">
        <v>745</v>
      </c>
      <c r="J53" s="10" t="s">
        <v>746</v>
      </c>
      <c r="K53" s="13">
        <v>30.0</v>
      </c>
      <c r="L53" s="10" t="s">
        <v>747</v>
      </c>
      <c r="M53" s="7">
        <f t="shared" si="1"/>
        <v>1</v>
      </c>
      <c r="N53" s="13" t="s">
        <v>41</v>
      </c>
    </row>
    <row r="54" ht="15.75" customHeight="1">
      <c r="A54" s="7">
        <v>50.0</v>
      </c>
      <c r="B54" s="7" t="s">
        <v>748</v>
      </c>
      <c r="C54" s="7">
        <v>1.0</v>
      </c>
      <c r="D54" s="10" t="s">
        <v>167</v>
      </c>
      <c r="E54" s="7" t="s">
        <v>383</v>
      </c>
      <c r="F54" s="8" t="s">
        <v>171</v>
      </c>
      <c r="G54" s="10" t="s">
        <v>173</v>
      </c>
      <c r="H54" s="10"/>
      <c r="I54" s="10" t="s">
        <v>176</v>
      </c>
      <c r="J54" s="10" t="s">
        <v>177</v>
      </c>
      <c r="K54" s="13">
        <v>7.0</v>
      </c>
      <c r="L54" s="10" t="s">
        <v>178</v>
      </c>
      <c r="M54" s="7">
        <f t="shared" si="1"/>
        <v>2</v>
      </c>
      <c r="N54" s="13" t="s">
        <v>41</v>
      </c>
    </row>
    <row r="55" ht="15.75" customHeight="1">
      <c r="A55" s="7">
        <v>51.0</v>
      </c>
      <c r="B55" s="7" t="s">
        <v>748</v>
      </c>
      <c r="C55" s="7">
        <v>1.0</v>
      </c>
      <c r="D55" s="10" t="s">
        <v>167</v>
      </c>
      <c r="E55" s="7" t="s">
        <v>403</v>
      </c>
      <c r="F55" s="8" t="s">
        <v>251</v>
      </c>
      <c r="G55" s="10" t="s">
        <v>252</v>
      </c>
      <c r="H55" s="10"/>
      <c r="I55" s="10" t="s">
        <v>253</v>
      </c>
      <c r="J55" s="10" t="s">
        <v>254</v>
      </c>
      <c r="K55" s="13">
        <v>7.0</v>
      </c>
      <c r="L55" s="10" t="s">
        <v>255</v>
      </c>
      <c r="M55" s="7">
        <f t="shared" si="1"/>
        <v>1</v>
      </c>
      <c r="N55" s="13" t="s">
        <v>41</v>
      </c>
    </row>
    <row r="56" ht="15.75" customHeight="1">
      <c r="A56" s="7">
        <v>52.0</v>
      </c>
      <c r="B56" s="7" t="s">
        <v>748</v>
      </c>
      <c r="C56" s="7">
        <v>1.0</v>
      </c>
      <c r="D56" s="10" t="s">
        <v>167</v>
      </c>
      <c r="E56" s="7" t="s">
        <v>409</v>
      </c>
      <c r="F56" s="8" t="s">
        <v>260</v>
      </c>
      <c r="G56" s="10" t="s">
        <v>261</v>
      </c>
      <c r="H56" s="10" t="s">
        <v>754</v>
      </c>
      <c r="I56" s="10" t="s">
        <v>264</v>
      </c>
      <c r="J56" s="10" t="s">
        <v>266</v>
      </c>
      <c r="K56" s="13">
        <v>10.0</v>
      </c>
      <c r="L56" s="10" t="s">
        <v>268</v>
      </c>
      <c r="M56" s="7">
        <f t="shared" si="1"/>
        <v>2</v>
      </c>
      <c r="N56" s="13" t="s">
        <v>41</v>
      </c>
    </row>
    <row r="57" ht="15.75" customHeight="1">
      <c r="A57" s="7">
        <v>53.0</v>
      </c>
      <c r="B57" s="7" t="s">
        <v>748</v>
      </c>
      <c r="C57" s="7">
        <v>1.0</v>
      </c>
      <c r="D57" s="10" t="s">
        <v>167</v>
      </c>
      <c r="E57" s="7" t="s">
        <v>757</v>
      </c>
      <c r="F57" s="8" t="s">
        <v>270</v>
      </c>
      <c r="G57" s="10" t="s">
        <v>271</v>
      </c>
      <c r="H57" s="10" t="s">
        <v>409</v>
      </c>
      <c r="I57" s="10" t="s">
        <v>272</v>
      </c>
      <c r="J57" s="10" t="s">
        <v>273</v>
      </c>
      <c r="K57" s="13">
        <v>7.0</v>
      </c>
      <c r="L57" s="10"/>
      <c r="M57" s="7">
        <f t="shared" si="1"/>
        <v>0</v>
      </c>
      <c r="N57" s="13" t="s">
        <v>41</v>
      </c>
    </row>
    <row r="58" ht="15.75" customHeight="1">
      <c r="A58" s="7">
        <v>54.0</v>
      </c>
      <c r="B58" s="7" t="s">
        <v>748</v>
      </c>
      <c r="C58" s="7">
        <v>1.0</v>
      </c>
      <c r="D58" s="10" t="s">
        <v>167</v>
      </c>
      <c r="E58" s="7" t="s">
        <v>761</v>
      </c>
      <c r="F58" s="8" t="s">
        <v>278</v>
      </c>
      <c r="G58" s="10" t="s">
        <v>279</v>
      </c>
      <c r="H58" s="10" t="s">
        <v>383</v>
      </c>
      <c r="I58" s="10" t="s">
        <v>280</v>
      </c>
      <c r="J58" s="10" t="s">
        <v>281</v>
      </c>
      <c r="K58" s="13">
        <v>5.0</v>
      </c>
      <c r="L58" s="10"/>
      <c r="M58" s="7">
        <f t="shared" si="1"/>
        <v>0</v>
      </c>
      <c r="N58" s="13" t="s">
        <v>41</v>
      </c>
    </row>
    <row r="59" ht="15.75" customHeight="1">
      <c r="A59" s="7">
        <v>55.0</v>
      </c>
      <c r="B59" s="7" t="s">
        <v>748</v>
      </c>
      <c r="C59" s="7">
        <v>2.0</v>
      </c>
      <c r="D59" s="10" t="s">
        <v>282</v>
      </c>
      <c r="E59" s="7" t="s">
        <v>390</v>
      </c>
      <c r="F59" s="8" t="s">
        <v>284</v>
      </c>
      <c r="G59" s="10" t="s">
        <v>285</v>
      </c>
      <c r="H59" s="10" t="s">
        <v>383</v>
      </c>
      <c r="I59" s="10" t="s">
        <v>286</v>
      </c>
      <c r="J59" s="10" t="s">
        <v>288</v>
      </c>
      <c r="K59" s="13">
        <v>3.0</v>
      </c>
      <c r="L59" s="10" t="s">
        <v>290</v>
      </c>
      <c r="M59" s="7">
        <f t="shared" si="1"/>
        <v>3</v>
      </c>
      <c r="N59" s="13" t="s">
        <v>41</v>
      </c>
    </row>
    <row r="60" ht="15.75" customHeight="1">
      <c r="A60" s="7">
        <v>56.0</v>
      </c>
      <c r="B60" s="7" t="s">
        <v>748</v>
      </c>
      <c r="C60" s="7">
        <v>2.0</v>
      </c>
      <c r="D60" s="10" t="s">
        <v>282</v>
      </c>
      <c r="E60" s="7" t="s">
        <v>766</v>
      </c>
      <c r="F60" s="8" t="s">
        <v>767</v>
      </c>
      <c r="G60" s="10" t="s">
        <v>768</v>
      </c>
      <c r="H60" s="10" t="s">
        <v>383</v>
      </c>
      <c r="I60" s="10" t="s">
        <v>769</v>
      </c>
      <c r="J60" s="10" t="s">
        <v>770</v>
      </c>
      <c r="K60" s="13">
        <v>7.0</v>
      </c>
      <c r="L60" s="10" t="s">
        <v>771</v>
      </c>
      <c r="M60" s="7">
        <f t="shared" si="1"/>
        <v>1</v>
      </c>
      <c r="N60" s="13" t="s">
        <v>41</v>
      </c>
    </row>
    <row r="61" ht="15.75" customHeight="1">
      <c r="A61" s="7">
        <v>57.0</v>
      </c>
      <c r="B61" s="7" t="s">
        <v>748</v>
      </c>
      <c r="C61" s="7">
        <v>2.0</v>
      </c>
      <c r="D61" s="10" t="s">
        <v>282</v>
      </c>
      <c r="E61" s="7" t="s">
        <v>772</v>
      </c>
      <c r="F61" s="8" t="s">
        <v>397</v>
      </c>
      <c r="G61" s="10" t="s">
        <v>399</v>
      </c>
      <c r="H61" s="10" t="s">
        <v>761</v>
      </c>
      <c r="I61" s="10" t="s">
        <v>401</v>
      </c>
      <c r="J61" s="10" t="s">
        <v>402</v>
      </c>
      <c r="K61" s="13">
        <v>3.0</v>
      </c>
      <c r="L61" s="10"/>
      <c r="M61" s="7">
        <f t="shared" si="1"/>
        <v>0</v>
      </c>
      <c r="N61" s="13" t="s">
        <v>41</v>
      </c>
    </row>
    <row r="62" ht="15.75" customHeight="1">
      <c r="A62" s="7">
        <v>58.0</v>
      </c>
      <c r="B62" s="7" t="s">
        <v>748</v>
      </c>
      <c r="C62" s="7">
        <v>2.0</v>
      </c>
      <c r="D62" s="10" t="s">
        <v>282</v>
      </c>
      <c r="E62" s="7" t="s">
        <v>773</v>
      </c>
      <c r="F62" s="8" t="s">
        <v>412</v>
      </c>
      <c r="G62" s="10" t="s">
        <v>414</v>
      </c>
      <c r="H62" s="10" t="s">
        <v>774</v>
      </c>
      <c r="I62" s="10" t="s">
        <v>416</v>
      </c>
      <c r="J62" s="10" t="s">
        <v>418</v>
      </c>
      <c r="K62" s="13">
        <v>2.0</v>
      </c>
      <c r="L62" s="10"/>
      <c r="M62" s="7">
        <f t="shared" si="1"/>
        <v>0</v>
      </c>
      <c r="N62" s="13" t="s">
        <v>41</v>
      </c>
    </row>
    <row r="63" ht="15.75" customHeight="1">
      <c r="A63" s="7">
        <v>59.0</v>
      </c>
      <c r="B63" s="7" t="s">
        <v>748</v>
      </c>
      <c r="C63" s="7">
        <v>3.0</v>
      </c>
      <c r="D63" s="10" t="s">
        <v>777</v>
      </c>
      <c r="E63" s="7" t="s">
        <v>377</v>
      </c>
      <c r="F63" s="8" t="s">
        <v>778</v>
      </c>
      <c r="G63" s="10" t="s">
        <v>779</v>
      </c>
      <c r="H63" s="10" t="s">
        <v>773</v>
      </c>
      <c r="I63" s="10" t="s">
        <v>780</v>
      </c>
      <c r="J63" s="10" t="s">
        <v>781</v>
      </c>
      <c r="K63" s="13">
        <v>7.0</v>
      </c>
      <c r="L63" s="10" t="s">
        <v>431</v>
      </c>
      <c r="M63" s="7">
        <f t="shared" si="1"/>
        <v>4</v>
      </c>
      <c r="N63" s="13" t="s">
        <v>41</v>
      </c>
    </row>
    <row r="64" ht="15.75" customHeight="1">
      <c r="A64" s="7">
        <v>60.0</v>
      </c>
      <c r="B64" s="7" t="s">
        <v>748</v>
      </c>
      <c r="C64" s="7">
        <v>3.0</v>
      </c>
      <c r="D64" s="10" t="s">
        <v>777</v>
      </c>
      <c r="E64" s="7" t="s">
        <v>782</v>
      </c>
      <c r="F64" s="8" t="s">
        <v>783</v>
      </c>
      <c r="G64" s="10" t="s">
        <v>784</v>
      </c>
      <c r="H64" s="10" t="s">
        <v>377</v>
      </c>
      <c r="I64" s="10" t="s">
        <v>780</v>
      </c>
      <c r="J64" s="10" t="s">
        <v>438</v>
      </c>
      <c r="K64" s="13">
        <v>1.0</v>
      </c>
      <c r="L64" s="10"/>
      <c r="M64" s="7">
        <f t="shared" si="1"/>
        <v>0</v>
      </c>
      <c r="N64" s="13" t="s">
        <v>41</v>
      </c>
    </row>
    <row r="65" ht="15.75" customHeight="1">
      <c r="A65" s="7">
        <v>61.0</v>
      </c>
      <c r="B65" s="7" t="s">
        <v>748</v>
      </c>
      <c r="C65" s="7">
        <v>3.0</v>
      </c>
      <c r="D65" s="10" t="s">
        <v>777</v>
      </c>
      <c r="E65" s="7" t="s">
        <v>454</v>
      </c>
      <c r="F65" s="8" t="s">
        <v>785</v>
      </c>
      <c r="G65" s="10" t="s">
        <v>786</v>
      </c>
      <c r="H65" s="10" t="s">
        <v>782</v>
      </c>
      <c r="I65" s="10" t="s">
        <v>787</v>
      </c>
      <c r="J65" s="10" t="s">
        <v>788</v>
      </c>
      <c r="K65" s="13">
        <v>45.0</v>
      </c>
      <c r="L65" s="10" t="s">
        <v>448</v>
      </c>
      <c r="M65" s="7">
        <f t="shared" si="1"/>
        <v>1</v>
      </c>
      <c r="N65" s="13" t="s">
        <v>41</v>
      </c>
    </row>
    <row r="66" ht="15.75" customHeight="1">
      <c r="A66" s="7">
        <v>62.0</v>
      </c>
      <c r="B66" s="7" t="s">
        <v>748</v>
      </c>
      <c r="C66" s="7">
        <v>3.0</v>
      </c>
      <c r="D66" s="10" t="s">
        <v>777</v>
      </c>
      <c r="E66" s="7" t="s">
        <v>791</v>
      </c>
      <c r="F66" s="8" t="s">
        <v>792</v>
      </c>
      <c r="G66" s="10" t="s">
        <v>793</v>
      </c>
      <c r="H66" s="10" t="s">
        <v>454</v>
      </c>
      <c r="I66" s="10" t="s">
        <v>787</v>
      </c>
      <c r="J66" s="10" t="s">
        <v>794</v>
      </c>
      <c r="K66" s="13">
        <v>30.0</v>
      </c>
      <c r="L66" s="10"/>
      <c r="M66" s="7">
        <f t="shared" si="1"/>
        <v>0</v>
      </c>
      <c r="N66" s="13" t="s">
        <v>41</v>
      </c>
    </row>
    <row r="67" ht="15.75" customHeight="1">
      <c r="A67" s="7">
        <v>63.0</v>
      </c>
      <c r="B67" s="7" t="s">
        <v>748</v>
      </c>
      <c r="C67" s="7">
        <v>3.0</v>
      </c>
      <c r="D67" s="10" t="s">
        <v>777</v>
      </c>
      <c r="E67" s="7" t="s">
        <v>512</v>
      </c>
      <c r="F67" s="8" t="s">
        <v>795</v>
      </c>
      <c r="G67" s="10" t="s">
        <v>796</v>
      </c>
      <c r="H67" s="10" t="s">
        <v>791</v>
      </c>
      <c r="I67" s="10" t="s">
        <v>407</v>
      </c>
      <c r="J67" s="10" t="s">
        <v>458</v>
      </c>
      <c r="K67" s="13">
        <v>3.0</v>
      </c>
      <c r="L67" s="10" t="s">
        <v>460</v>
      </c>
      <c r="M67" s="7">
        <f t="shared" si="1"/>
        <v>1</v>
      </c>
      <c r="N67" s="13" t="s">
        <v>41</v>
      </c>
    </row>
    <row r="68" ht="15.75" customHeight="1">
      <c r="A68" s="7">
        <v>64.0</v>
      </c>
      <c r="B68" s="7" t="s">
        <v>748</v>
      </c>
      <c r="C68" s="7">
        <v>3.0</v>
      </c>
      <c r="D68" s="10" t="s">
        <v>777</v>
      </c>
      <c r="E68" s="7" t="s">
        <v>530</v>
      </c>
      <c r="F68" s="8" t="s">
        <v>797</v>
      </c>
      <c r="G68" s="10" t="s">
        <v>798</v>
      </c>
      <c r="H68" s="10" t="s">
        <v>512</v>
      </c>
      <c r="I68" s="10" t="s">
        <v>801</v>
      </c>
      <c r="J68" s="10" t="s">
        <v>802</v>
      </c>
      <c r="K68" s="13">
        <v>30.0</v>
      </c>
      <c r="L68" s="10" t="s">
        <v>803</v>
      </c>
      <c r="M68" s="7">
        <f t="shared" si="1"/>
        <v>2</v>
      </c>
      <c r="N68" s="13" t="s">
        <v>41</v>
      </c>
    </row>
    <row r="69" ht="15.75" customHeight="1">
      <c r="A69" s="7">
        <v>65.0</v>
      </c>
      <c r="B69" s="7" t="s">
        <v>748</v>
      </c>
      <c r="C69" s="7">
        <v>4.0</v>
      </c>
      <c r="D69" s="10" t="s">
        <v>421</v>
      </c>
      <c r="E69" s="7" t="s">
        <v>805</v>
      </c>
      <c r="F69" s="8" t="s">
        <v>477</v>
      </c>
      <c r="G69" s="10" t="s">
        <v>478</v>
      </c>
      <c r="H69" s="10" t="s">
        <v>773</v>
      </c>
      <c r="I69" s="10" t="s">
        <v>407</v>
      </c>
      <c r="J69" s="10" t="s">
        <v>479</v>
      </c>
      <c r="K69" s="13">
        <v>5.0</v>
      </c>
      <c r="L69" s="10"/>
      <c r="M69" s="7">
        <f t="shared" si="1"/>
        <v>0</v>
      </c>
      <c r="N69" s="13" t="s">
        <v>41</v>
      </c>
    </row>
    <row r="70" ht="15.75" customHeight="1">
      <c r="A70" s="7">
        <v>66.0</v>
      </c>
      <c r="B70" s="7" t="s">
        <v>748</v>
      </c>
      <c r="C70" s="7">
        <v>4.0</v>
      </c>
      <c r="D70" s="10" t="s">
        <v>421</v>
      </c>
      <c r="E70" s="7" t="s">
        <v>588</v>
      </c>
      <c r="F70" s="8" t="s">
        <v>483</v>
      </c>
      <c r="G70" s="10" t="s">
        <v>484</v>
      </c>
      <c r="H70" s="10" t="s">
        <v>809</v>
      </c>
      <c r="I70" s="10" t="s">
        <v>280</v>
      </c>
      <c r="J70" s="10" t="s">
        <v>486</v>
      </c>
      <c r="K70" s="13">
        <v>7.0</v>
      </c>
      <c r="L70" s="10" t="s">
        <v>488</v>
      </c>
      <c r="M70" s="7">
        <f t="shared" si="1"/>
        <v>1</v>
      </c>
      <c r="N70" s="13" t="s">
        <v>41</v>
      </c>
    </row>
    <row r="71" ht="15.75" customHeight="1">
      <c r="A71" s="7">
        <v>67.0</v>
      </c>
      <c r="B71" s="7" t="s">
        <v>748</v>
      </c>
      <c r="C71" s="7">
        <v>4.0</v>
      </c>
      <c r="D71" s="10" t="s">
        <v>421</v>
      </c>
      <c r="E71" s="7" t="s">
        <v>423</v>
      </c>
      <c r="F71" s="8" t="s">
        <v>492</v>
      </c>
      <c r="G71" s="10" t="s">
        <v>493</v>
      </c>
      <c r="H71" s="10" t="s">
        <v>588</v>
      </c>
      <c r="I71" s="10" t="s">
        <v>494</v>
      </c>
      <c r="J71" s="10" t="s">
        <v>495</v>
      </c>
      <c r="K71" s="13">
        <v>10.0</v>
      </c>
      <c r="L71" s="10" t="s">
        <v>496</v>
      </c>
      <c r="M71" s="7">
        <f t="shared" si="1"/>
        <v>3</v>
      </c>
      <c r="N71" s="13" t="s">
        <v>41</v>
      </c>
    </row>
    <row r="72" ht="15.75" customHeight="1">
      <c r="A72" s="7">
        <v>68.0</v>
      </c>
      <c r="B72" s="7" t="s">
        <v>748</v>
      </c>
      <c r="C72" s="7">
        <v>4.0</v>
      </c>
      <c r="D72" s="10" t="s">
        <v>421</v>
      </c>
      <c r="E72" s="7" t="s">
        <v>812</v>
      </c>
      <c r="F72" s="8" t="s">
        <v>500</v>
      </c>
      <c r="G72" s="10" t="s">
        <v>501</v>
      </c>
      <c r="H72" s="10" t="s">
        <v>423</v>
      </c>
      <c r="I72" s="10" t="s">
        <v>502</v>
      </c>
      <c r="J72" s="10" t="s">
        <v>503</v>
      </c>
      <c r="K72" s="13">
        <v>5.0</v>
      </c>
      <c r="L72" s="10"/>
      <c r="M72" s="7">
        <f t="shared" si="1"/>
        <v>0</v>
      </c>
      <c r="N72" s="13" t="s">
        <v>41</v>
      </c>
    </row>
    <row r="73" ht="15.75" customHeight="1">
      <c r="A73" s="7">
        <v>69.0</v>
      </c>
      <c r="B73" s="7" t="s">
        <v>748</v>
      </c>
      <c r="C73" s="7">
        <v>5.0</v>
      </c>
      <c r="D73" s="10" t="s">
        <v>464</v>
      </c>
      <c r="E73" s="7" t="s">
        <v>641</v>
      </c>
      <c r="F73" s="8" t="s">
        <v>505</v>
      </c>
      <c r="G73" s="10" t="s">
        <v>506</v>
      </c>
      <c r="H73" s="10" t="s">
        <v>423</v>
      </c>
      <c r="I73" s="10" t="s">
        <v>507</v>
      </c>
      <c r="J73" s="10" t="s">
        <v>508</v>
      </c>
      <c r="K73" s="13">
        <v>2.0</v>
      </c>
      <c r="L73" s="10" t="s">
        <v>509</v>
      </c>
      <c r="M73" s="7">
        <f t="shared" si="1"/>
        <v>1</v>
      </c>
      <c r="N73" s="13" t="s">
        <v>41</v>
      </c>
    </row>
    <row r="74" ht="15.75" customHeight="1">
      <c r="A74" s="7">
        <v>70.0</v>
      </c>
      <c r="B74" s="7" t="s">
        <v>748</v>
      </c>
      <c r="C74" s="7">
        <v>5.0</v>
      </c>
      <c r="D74" s="10" t="s">
        <v>464</v>
      </c>
      <c r="E74" s="7" t="s">
        <v>466</v>
      </c>
      <c r="F74" s="8" t="s">
        <v>510</v>
      </c>
      <c r="G74" s="10" t="s">
        <v>511</v>
      </c>
      <c r="H74" s="10" t="s">
        <v>641</v>
      </c>
      <c r="I74" s="10" t="s">
        <v>462</v>
      </c>
      <c r="J74" s="10" t="s">
        <v>513</v>
      </c>
      <c r="K74" s="13">
        <v>30.0</v>
      </c>
      <c r="L74" s="10" t="s">
        <v>459</v>
      </c>
      <c r="M74" s="7">
        <f t="shared" si="1"/>
        <v>1</v>
      </c>
      <c r="N74" s="13" t="s">
        <v>41</v>
      </c>
    </row>
    <row r="75" ht="15.75" customHeight="1">
      <c r="A75" s="7">
        <v>71.0</v>
      </c>
      <c r="B75" s="7" t="s">
        <v>748</v>
      </c>
      <c r="C75" s="7">
        <v>5.0</v>
      </c>
      <c r="D75" s="10" t="s">
        <v>464</v>
      </c>
      <c r="E75" s="7" t="s">
        <v>819</v>
      </c>
      <c r="F75" s="8" t="s">
        <v>516</v>
      </c>
      <c r="G75" s="10" t="s">
        <v>517</v>
      </c>
      <c r="H75" s="10" t="s">
        <v>641</v>
      </c>
      <c r="I75" s="10" t="s">
        <v>518</v>
      </c>
      <c r="J75" s="10" t="s">
        <v>513</v>
      </c>
      <c r="K75" s="13">
        <v>30.0</v>
      </c>
      <c r="L75" s="10"/>
      <c r="M75" s="7">
        <f t="shared" si="1"/>
        <v>0</v>
      </c>
      <c r="N75" s="13" t="s">
        <v>41</v>
      </c>
    </row>
    <row r="76" ht="15.75" customHeight="1">
      <c r="A76" s="7">
        <v>72.0</v>
      </c>
      <c r="B76" s="7" t="s">
        <v>748</v>
      </c>
      <c r="C76" s="7">
        <v>5.0</v>
      </c>
      <c r="D76" s="10" t="s">
        <v>464</v>
      </c>
      <c r="E76" s="7" t="s">
        <v>822</v>
      </c>
      <c r="F76" s="8" t="s">
        <v>520</v>
      </c>
      <c r="G76" s="10" t="s">
        <v>823</v>
      </c>
      <c r="H76" s="10" t="s">
        <v>641</v>
      </c>
      <c r="I76" s="10" t="s">
        <v>817</v>
      </c>
      <c r="J76" s="10" t="s">
        <v>525</v>
      </c>
      <c r="K76" s="13">
        <v>15.0</v>
      </c>
      <c r="L76" s="10" t="s">
        <v>824</v>
      </c>
      <c r="M76" s="7">
        <f t="shared" si="1"/>
        <v>1</v>
      </c>
      <c r="N76" s="13" t="s">
        <v>41</v>
      </c>
    </row>
    <row r="77" ht="15.75" customHeight="1">
      <c r="A77" s="7">
        <v>73.0</v>
      </c>
      <c r="B77" s="7" t="s">
        <v>748</v>
      </c>
      <c r="C77" s="7">
        <v>5.0</v>
      </c>
      <c r="D77" s="10" t="s">
        <v>464</v>
      </c>
      <c r="E77" s="7" t="s">
        <v>622</v>
      </c>
      <c r="F77" s="8" t="s">
        <v>529</v>
      </c>
      <c r="G77" s="10" t="s">
        <v>531</v>
      </c>
      <c r="H77" s="10" t="s">
        <v>641</v>
      </c>
      <c r="I77" s="10" t="s">
        <v>826</v>
      </c>
      <c r="J77" s="10" t="s">
        <v>534</v>
      </c>
      <c r="K77" s="13">
        <v>15.0</v>
      </c>
      <c r="L77" s="10" t="s">
        <v>827</v>
      </c>
      <c r="M77" s="7">
        <f t="shared" si="1"/>
        <v>2</v>
      </c>
      <c r="N77" s="13" t="s">
        <v>41</v>
      </c>
    </row>
    <row r="78" ht="15.75" customHeight="1">
      <c r="A78" s="7">
        <v>74.0</v>
      </c>
      <c r="B78" s="7" t="s">
        <v>748</v>
      </c>
      <c r="C78" s="7">
        <v>5.0</v>
      </c>
      <c r="D78" s="10" t="s">
        <v>464</v>
      </c>
      <c r="E78" s="7" t="s">
        <v>818</v>
      </c>
      <c r="F78" s="8" t="s">
        <v>830</v>
      </c>
      <c r="G78" s="10" t="s">
        <v>831</v>
      </c>
      <c r="H78" s="10" t="s">
        <v>641</v>
      </c>
      <c r="I78" s="10" t="s">
        <v>817</v>
      </c>
      <c r="J78" s="10" t="s">
        <v>832</v>
      </c>
      <c r="K78" s="13">
        <v>15.0</v>
      </c>
      <c r="L78" s="10" t="s">
        <v>815</v>
      </c>
      <c r="M78" s="7">
        <f t="shared" si="1"/>
        <v>1</v>
      </c>
      <c r="N78" s="13" t="s">
        <v>41</v>
      </c>
    </row>
    <row r="79" ht="15.75" customHeight="1">
      <c r="A79" s="7">
        <v>75.0</v>
      </c>
      <c r="B79" s="7" t="s">
        <v>748</v>
      </c>
      <c r="C79" s="7">
        <v>6.0</v>
      </c>
      <c r="D79" s="10" t="s">
        <v>538</v>
      </c>
      <c r="E79" s="7" t="s">
        <v>834</v>
      </c>
      <c r="F79" s="8" t="s">
        <v>540</v>
      </c>
      <c r="G79" s="10" t="s">
        <v>541</v>
      </c>
      <c r="H79" s="10"/>
      <c r="I79" s="10" t="s">
        <v>372</v>
      </c>
      <c r="J79" s="10" t="s">
        <v>542</v>
      </c>
      <c r="K79" s="13">
        <v>1.0</v>
      </c>
      <c r="L79" s="10"/>
      <c r="M79" s="7">
        <f t="shared" si="1"/>
        <v>0</v>
      </c>
      <c r="N79" s="13" t="s">
        <v>41</v>
      </c>
    </row>
    <row r="80" ht="15.75" customHeight="1">
      <c r="A80" s="7">
        <v>76.0</v>
      </c>
      <c r="B80" s="7" t="s">
        <v>748</v>
      </c>
      <c r="C80" s="7">
        <v>6.0</v>
      </c>
      <c r="D80" s="10" t="s">
        <v>538</v>
      </c>
      <c r="E80" s="7" t="s">
        <v>544</v>
      </c>
      <c r="F80" s="8" t="s">
        <v>547</v>
      </c>
      <c r="G80" s="10" t="s">
        <v>548</v>
      </c>
      <c r="H80" s="10" t="s">
        <v>836</v>
      </c>
      <c r="I80" s="10" t="s">
        <v>372</v>
      </c>
      <c r="J80" s="10" t="s">
        <v>551</v>
      </c>
      <c r="K80" s="13">
        <v>2.0</v>
      </c>
      <c r="L80" s="10" t="s">
        <v>837</v>
      </c>
      <c r="M80" s="7">
        <f t="shared" si="1"/>
        <v>8</v>
      </c>
      <c r="N80" s="13" t="s">
        <v>41</v>
      </c>
    </row>
    <row r="81" ht="15.75" customHeight="1">
      <c r="A81" s="7">
        <v>77.0</v>
      </c>
      <c r="B81" s="7" t="s">
        <v>748</v>
      </c>
      <c r="C81" s="7">
        <v>6.0</v>
      </c>
      <c r="D81" s="10" t="s">
        <v>538</v>
      </c>
      <c r="E81" s="7" t="s">
        <v>658</v>
      </c>
      <c r="F81" s="8" t="s">
        <v>554</v>
      </c>
      <c r="G81" s="10" t="s">
        <v>555</v>
      </c>
      <c r="H81" s="10" t="s">
        <v>544</v>
      </c>
      <c r="I81" s="10" t="s">
        <v>407</v>
      </c>
      <c r="J81" s="10" t="s">
        <v>498</v>
      </c>
      <c r="K81" s="13">
        <v>1.0</v>
      </c>
      <c r="L81" s="10" t="s">
        <v>557</v>
      </c>
      <c r="M81" s="7">
        <f t="shared" si="1"/>
        <v>1</v>
      </c>
      <c r="N81" s="13" t="s">
        <v>41</v>
      </c>
    </row>
    <row r="82" ht="15.75" customHeight="1">
      <c r="A82" s="7">
        <v>78.0</v>
      </c>
      <c r="B82" s="7" t="s">
        <v>748</v>
      </c>
      <c r="C82" s="7">
        <v>7.0</v>
      </c>
      <c r="D82" s="10" t="s">
        <v>568</v>
      </c>
      <c r="E82" s="7" t="s">
        <v>840</v>
      </c>
      <c r="F82" s="8" t="s">
        <v>571</v>
      </c>
      <c r="G82" s="10" t="s">
        <v>572</v>
      </c>
      <c r="H82" s="10" t="s">
        <v>658</v>
      </c>
      <c r="I82" s="10" t="s">
        <v>389</v>
      </c>
      <c r="J82" s="10" t="s">
        <v>449</v>
      </c>
      <c r="K82" s="13">
        <v>20.0</v>
      </c>
      <c r="L82" s="10"/>
      <c r="M82" s="7">
        <f t="shared" si="1"/>
        <v>0</v>
      </c>
      <c r="N82" s="13" t="s">
        <v>41</v>
      </c>
    </row>
    <row r="83" ht="15.75" customHeight="1">
      <c r="A83" s="7">
        <v>79.0</v>
      </c>
      <c r="B83" s="7" t="s">
        <v>748</v>
      </c>
      <c r="C83" s="7">
        <v>7.0</v>
      </c>
      <c r="D83" s="10" t="s">
        <v>568</v>
      </c>
      <c r="E83" s="7" t="s">
        <v>670</v>
      </c>
      <c r="F83" s="8" t="s">
        <v>576</v>
      </c>
      <c r="G83" s="10" t="s">
        <v>578</v>
      </c>
      <c r="H83" s="10" t="s">
        <v>840</v>
      </c>
      <c r="I83" s="10" t="s">
        <v>494</v>
      </c>
      <c r="J83" s="10" t="s">
        <v>580</v>
      </c>
      <c r="K83" s="13">
        <v>10.0</v>
      </c>
      <c r="L83" s="10" t="s">
        <v>581</v>
      </c>
      <c r="M83" s="7">
        <f t="shared" si="1"/>
        <v>1</v>
      </c>
      <c r="N83" s="13" t="s">
        <v>41</v>
      </c>
    </row>
    <row r="84" ht="15.75" customHeight="1">
      <c r="A84" s="7">
        <v>80.0</v>
      </c>
      <c r="B84" s="7" t="s">
        <v>748</v>
      </c>
      <c r="C84" s="7">
        <v>7.0</v>
      </c>
      <c r="D84" s="10" t="s">
        <v>568</v>
      </c>
      <c r="E84" s="7" t="s">
        <v>843</v>
      </c>
      <c r="F84" s="8" t="s">
        <v>583</v>
      </c>
      <c r="G84" s="10" t="s">
        <v>584</v>
      </c>
      <c r="H84" s="10" t="s">
        <v>670</v>
      </c>
      <c r="I84" s="10" t="s">
        <v>389</v>
      </c>
      <c r="J84" s="10" t="s">
        <v>585</v>
      </c>
      <c r="K84" s="13">
        <v>15.0</v>
      </c>
      <c r="L84" s="10"/>
      <c r="M84" s="7">
        <f t="shared" si="1"/>
        <v>0</v>
      </c>
      <c r="N84" s="13" t="s">
        <v>41</v>
      </c>
    </row>
    <row r="85" ht="15.75" customHeight="1">
      <c r="A85" s="7">
        <v>81.0</v>
      </c>
      <c r="B85" s="7" t="s">
        <v>748</v>
      </c>
      <c r="C85" s="7">
        <v>8.0</v>
      </c>
      <c r="D85" s="10" t="s">
        <v>589</v>
      </c>
      <c r="E85" s="7" t="s">
        <v>846</v>
      </c>
      <c r="F85" s="8" t="s">
        <v>592</v>
      </c>
      <c r="G85" s="10" t="s">
        <v>593</v>
      </c>
      <c r="H85" s="10" t="s">
        <v>843</v>
      </c>
      <c r="I85" s="10" t="s">
        <v>847</v>
      </c>
      <c r="J85" s="10" t="s">
        <v>595</v>
      </c>
      <c r="K85" s="13">
        <v>5.0</v>
      </c>
      <c r="L85" s="10"/>
      <c r="M85" s="7">
        <f t="shared" si="1"/>
        <v>0</v>
      </c>
      <c r="N85" s="13" t="s">
        <v>41</v>
      </c>
    </row>
    <row r="86" ht="15.75" customHeight="1">
      <c r="A86" s="7">
        <v>82.0</v>
      </c>
      <c r="B86" s="7" t="s">
        <v>748</v>
      </c>
      <c r="C86" s="7">
        <v>8.0</v>
      </c>
      <c r="D86" s="10" t="s">
        <v>589</v>
      </c>
      <c r="E86" s="7" t="s">
        <v>683</v>
      </c>
      <c r="F86" s="8" t="s">
        <v>601</v>
      </c>
      <c r="G86" s="10" t="s">
        <v>602</v>
      </c>
      <c r="H86" s="10" t="s">
        <v>846</v>
      </c>
      <c r="I86" s="10" t="s">
        <v>407</v>
      </c>
      <c r="J86" s="10" t="s">
        <v>603</v>
      </c>
      <c r="K86" s="13">
        <v>5.0</v>
      </c>
      <c r="L86" s="10" t="s">
        <v>853</v>
      </c>
      <c r="M86" s="7">
        <f t="shared" si="1"/>
        <v>2</v>
      </c>
      <c r="N86" s="13" t="s">
        <v>41</v>
      </c>
    </row>
    <row r="87" ht="15.75" customHeight="1">
      <c r="A87" s="7">
        <v>83.0</v>
      </c>
      <c r="B87" s="7" t="s">
        <v>748</v>
      </c>
      <c r="C87" s="7">
        <v>9.0</v>
      </c>
      <c r="D87" s="10" t="s">
        <v>607</v>
      </c>
      <c r="E87" s="7" t="s">
        <v>694</v>
      </c>
      <c r="F87" s="8" t="s">
        <v>366</v>
      </c>
      <c r="G87" s="10" t="s">
        <v>855</v>
      </c>
      <c r="H87" s="10" t="s">
        <v>683</v>
      </c>
      <c r="I87" s="10" t="s">
        <v>253</v>
      </c>
      <c r="J87" s="10" t="s">
        <v>611</v>
      </c>
      <c r="K87" s="13">
        <v>7.0</v>
      </c>
      <c r="L87" s="10" t="s">
        <v>857</v>
      </c>
      <c r="M87" s="7">
        <f t="shared" si="1"/>
        <v>12</v>
      </c>
      <c r="N87" s="13" t="s">
        <v>41</v>
      </c>
    </row>
    <row r="88" ht="15.75" customHeight="1">
      <c r="A88" s="7">
        <v>84.0</v>
      </c>
      <c r="B88" s="7" t="s">
        <v>748</v>
      </c>
      <c r="C88" s="7">
        <v>9.0</v>
      </c>
      <c r="D88" s="10" t="s">
        <v>607</v>
      </c>
      <c r="E88" s="7" t="s">
        <v>709</v>
      </c>
      <c r="F88" s="8" t="s">
        <v>860</v>
      </c>
      <c r="G88" s="10" t="s">
        <v>861</v>
      </c>
      <c r="H88" s="10" t="s">
        <v>694</v>
      </c>
      <c r="I88" s="10" t="s">
        <v>389</v>
      </c>
      <c r="J88" s="10" t="s">
        <v>619</v>
      </c>
      <c r="K88" s="13">
        <v>15.0</v>
      </c>
      <c r="L88" s="10" t="s">
        <v>701</v>
      </c>
      <c r="M88" s="7">
        <f t="shared" si="1"/>
        <v>1</v>
      </c>
      <c r="N88" s="13" t="s">
        <v>41</v>
      </c>
    </row>
    <row r="89" ht="15.75" customHeight="1">
      <c r="A89" s="7">
        <v>85.0</v>
      </c>
      <c r="B89" s="7" t="s">
        <v>748</v>
      </c>
      <c r="C89" s="7">
        <v>10.0</v>
      </c>
      <c r="D89" s="10" t="s">
        <v>631</v>
      </c>
      <c r="E89" s="7" t="s">
        <v>863</v>
      </c>
      <c r="F89" s="8" t="s">
        <v>170</v>
      </c>
      <c r="G89" s="10" t="s">
        <v>633</v>
      </c>
      <c r="H89" s="10" t="s">
        <v>709</v>
      </c>
      <c r="I89" s="10" t="s">
        <v>634</v>
      </c>
      <c r="J89" s="10" t="s">
        <v>170</v>
      </c>
      <c r="K89" s="13">
        <v>45.0</v>
      </c>
      <c r="L89" s="10"/>
      <c r="M89" s="7">
        <f t="shared" si="1"/>
        <v>0</v>
      </c>
      <c r="N89" s="13" t="s">
        <v>41</v>
      </c>
    </row>
    <row r="90" ht="15.75" customHeight="1">
      <c r="A90" s="7">
        <v>86.0</v>
      </c>
      <c r="B90" s="7" t="s">
        <v>748</v>
      </c>
      <c r="C90" s="7">
        <v>10.0</v>
      </c>
      <c r="D90" s="10" t="s">
        <v>631</v>
      </c>
      <c r="E90" s="7" t="s">
        <v>864</v>
      </c>
      <c r="F90" s="8" t="s">
        <v>638</v>
      </c>
      <c r="G90" s="10" t="s">
        <v>639</v>
      </c>
      <c r="H90" s="10" t="s">
        <v>709</v>
      </c>
      <c r="I90" s="10" t="s">
        <v>634</v>
      </c>
      <c r="J90" s="10" t="s">
        <v>638</v>
      </c>
      <c r="K90" s="13">
        <v>30.0</v>
      </c>
      <c r="L90" s="10"/>
      <c r="M90" s="7">
        <f t="shared" si="1"/>
        <v>0</v>
      </c>
      <c r="N90" s="13" t="s">
        <v>41</v>
      </c>
    </row>
    <row r="91" ht="15.75" customHeight="1">
      <c r="A91" s="7">
        <v>87.0</v>
      </c>
      <c r="B91" s="7" t="s">
        <v>748</v>
      </c>
      <c r="C91" s="7">
        <v>10.0</v>
      </c>
      <c r="D91" s="10" t="s">
        <v>631</v>
      </c>
      <c r="E91" s="7" t="s">
        <v>865</v>
      </c>
      <c r="F91" s="8" t="s">
        <v>645</v>
      </c>
      <c r="G91" s="10" t="s">
        <v>646</v>
      </c>
      <c r="H91" s="10" t="s">
        <v>709</v>
      </c>
      <c r="I91" s="10" t="s">
        <v>649</v>
      </c>
      <c r="J91" s="10" t="s">
        <v>650</v>
      </c>
      <c r="K91" s="13">
        <v>30.0</v>
      </c>
      <c r="L91" s="10"/>
      <c r="M91" s="7">
        <f t="shared" si="1"/>
        <v>0</v>
      </c>
      <c r="N91" s="13" t="s">
        <v>41</v>
      </c>
    </row>
    <row r="92" ht="15.75" customHeight="1">
      <c r="A92" s="7">
        <v>88.0</v>
      </c>
      <c r="B92" s="7" t="s">
        <v>748</v>
      </c>
      <c r="C92" s="7">
        <v>10.0</v>
      </c>
      <c r="D92" s="10" t="s">
        <v>631</v>
      </c>
      <c r="E92" s="7" t="s">
        <v>868</v>
      </c>
      <c r="F92" s="8" t="s">
        <v>652</v>
      </c>
      <c r="G92" s="10" t="s">
        <v>653</v>
      </c>
      <c r="H92" s="10" t="s">
        <v>709</v>
      </c>
      <c r="I92" s="10" t="s">
        <v>869</v>
      </c>
      <c r="J92" s="10" t="s">
        <v>655</v>
      </c>
      <c r="K92" s="13">
        <v>30.0</v>
      </c>
      <c r="L92" s="10"/>
      <c r="M92" s="7">
        <f t="shared" si="1"/>
        <v>0</v>
      </c>
      <c r="N92" s="13" t="s">
        <v>41</v>
      </c>
    </row>
    <row r="93" ht="15.75" customHeight="1">
      <c r="A93" s="7">
        <v>89.0</v>
      </c>
      <c r="B93" s="7" t="s">
        <v>748</v>
      </c>
      <c r="C93" s="7">
        <v>10.0</v>
      </c>
      <c r="D93" s="10" t="s">
        <v>631</v>
      </c>
      <c r="E93" s="7" t="s">
        <v>870</v>
      </c>
      <c r="F93" s="8" t="s">
        <v>661</v>
      </c>
      <c r="G93" s="10" t="s">
        <v>662</v>
      </c>
      <c r="H93" s="10" t="s">
        <v>709</v>
      </c>
      <c r="I93" s="10" t="s">
        <v>663</v>
      </c>
      <c r="J93" s="10" t="s">
        <v>664</v>
      </c>
      <c r="K93" s="13">
        <v>10.0</v>
      </c>
      <c r="L93" s="10"/>
      <c r="M93" s="7">
        <f t="shared" si="1"/>
        <v>0</v>
      </c>
      <c r="N93" s="13" t="s">
        <v>41</v>
      </c>
    </row>
    <row r="94" ht="15.75" customHeight="1">
      <c r="A94" s="7">
        <v>90.0</v>
      </c>
      <c r="B94" s="7" t="s">
        <v>748</v>
      </c>
      <c r="C94" s="7">
        <v>10.0</v>
      </c>
      <c r="D94" s="10" t="s">
        <v>631</v>
      </c>
      <c r="E94" s="7" t="s">
        <v>841</v>
      </c>
      <c r="F94" s="8" t="s">
        <v>668</v>
      </c>
      <c r="G94" s="10" t="s">
        <v>669</v>
      </c>
      <c r="H94" s="10" t="s">
        <v>873</v>
      </c>
      <c r="I94" s="10" t="s">
        <v>817</v>
      </c>
      <c r="J94" s="10" t="s">
        <v>449</v>
      </c>
      <c r="K94" s="13">
        <v>15.0</v>
      </c>
      <c r="L94" s="10" t="s">
        <v>838</v>
      </c>
      <c r="M94" s="7">
        <f t="shared" si="1"/>
        <v>1</v>
      </c>
      <c r="N94" s="13" t="s">
        <v>41</v>
      </c>
    </row>
    <row r="95" ht="15.75" customHeight="1">
      <c r="A95" s="7">
        <v>91.0</v>
      </c>
      <c r="B95" s="7" t="s">
        <v>748</v>
      </c>
      <c r="C95" s="7">
        <v>11.0</v>
      </c>
      <c r="D95" s="10" t="s">
        <v>676</v>
      </c>
      <c r="E95" s="7" t="s">
        <v>845</v>
      </c>
      <c r="F95" s="8" t="s">
        <v>678</v>
      </c>
      <c r="G95" s="10" t="s">
        <v>679</v>
      </c>
      <c r="H95" s="10" t="s">
        <v>841</v>
      </c>
      <c r="I95" s="10" t="s">
        <v>875</v>
      </c>
      <c r="J95" s="10" t="s">
        <v>680</v>
      </c>
      <c r="K95" s="13">
        <v>15.0</v>
      </c>
      <c r="L95" s="10" t="s">
        <v>877</v>
      </c>
      <c r="M95" s="7">
        <f t="shared" si="1"/>
        <v>2</v>
      </c>
      <c r="N95" s="13" t="s">
        <v>41</v>
      </c>
    </row>
    <row r="96" ht="15.75" customHeight="1">
      <c r="A96" s="7">
        <v>92.0</v>
      </c>
      <c r="B96" s="7" t="s">
        <v>748</v>
      </c>
      <c r="C96" s="7">
        <v>11.0</v>
      </c>
      <c r="D96" s="10" t="s">
        <v>676</v>
      </c>
      <c r="E96" s="7" t="s">
        <v>879</v>
      </c>
      <c r="F96" s="8" t="s">
        <v>687</v>
      </c>
      <c r="G96" s="10" t="s">
        <v>688</v>
      </c>
      <c r="H96" s="10" t="s">
        <v>845</v>
      </c>
      <c r="I96" s="10" t="s">
        <v>407</v>
      </c>
      <c r="J96" s="10" t="s">
        <v>690</v>
      </c>
      <c r="K96" s="13">
        <v>1.0</v>
      </c>
      <c r="L96" s="10"/>
      <c r="M96" s="7">
        <f t="shared" si="1"/>
        <v>0</v>
      </c>
      <c r="N96" s="13" t="s">
        <v>41</v>
      </c>
    </row>
    <row r="97" ht="15.75" customHeight="1">
      <c r="A97" s="7">
        <v>93.0</v>
      </c>
      <c r="B97" s="7" t="s">
        <v>748</v>
      </c>
      <c r="C97" s="7">
        <v>12.0</v>
      </c>
      <c r="D97" s="10" t="s">
        <v>367</v>
      </c>
      <c r="E97" s="7" t="s">
        <v>884</v>
      </c>
      <c r="F97" s="8" t="s">
        <v>697</v>
      </c>
      <c r="G97" s="10" t="s">
        <v>698</v>
      </c>
      <c r="H97" s="10" t="s">
        <v>709</v>
      </c>
      <c r="I97" s="10" t="s">
        <v>699</v>
      </c>
      <c r="J97" s="10" t="s">
        <v>700</v>
      </c>
      <c r="K97" s="13">
        <v>1.0</v>
      </c>
      <c r="L97" s="10" t="s">
        <v>702</v>
      </c>
      <c r="M97" s="7">
        <f t="shared" si="1"/>
        <v>1</v>
      </c>
      <c r="N97" s="13" t="s">
        <v>41</v>
      </c>
    </row>
    <row r="98" ht="15.75" customHeight="1">
      <c r="A98" s="7">
        <v>94.0</v>
      </c>
      <c r="B98" s="7" t="s">
        <v>748</v>
      </c>
      <c r="C98" s="7">
        <v>12.0</v>
      </c>
      <c r="D98" s="10" t="s">
        <v>367</v>
      </c>
      <c r="E98" s="7" t="s">
        <v>889</v>
      </c>
      <c r="F98" s="8" t="s">
        <v>707</v>
      </c>
      <c r="G98" s="10" t="s">
        <v>708</v>
      </c>
      <c r="H98" s="10" t="s">
        <v>884</v>
      </c>
      <c r="I98" s="10" t="s">
        <v>711</v>
      </c>
      <c r="J98" s="10" t="s">
        <v>712</v>
      </c>
      <c r="K98" s="13">
        <v>30.0</v>
      </c>
      <c r="L98" s="10" t="s">
        <v>713</v>
      </c>
      <c r="M98" s="7">
        <f t="shared" si="1"/>
        <v>15</v>
      </c>
      <c r="N98" s="13" t="s">
        <v>41</v>
      </c>
    </row>
    <row r="99" ht="15.75" customHeight="1">
      <c r="A99" s="7">
        <v>95.0</v>
      </c>
      <c r="B99" s="7" t="s">
        <v>748</v>
      </c>
      <c r="C99" s="7">
        <v>13.0</v>
      </c>
      <c r="D99" s="10" t="s">
        <v>717</v>
      </c>
      <c r="E99" s="7" t="s">
        <v>895</v>
      </c>
      <c r="F99" s="8" t="s">
        <v>720</v>
      </c>
      <c r="G99" s="10" t="s">
        <v>721</v>
      </c>
      <c r="H99" s="10" t="s">
        <v>845</v>
      </c>
      <c r="I99" s="10" t="s">
        <v>722</v>
      </c>
      <c r="J99" s="10" t="s">
        <v>720</v>
      </c>
      <c r="K99" s="13">
        <v>30.0</v>
      </c>
      <c r="L99" s="10" t="s">
        <v>723</v>
      </c>
      <c r="M99" s="7">
        <f t="shared" si="1"/>
        <v>1</v>
      </c>
      <c r="N99" s="13" t="s">
        <v>41</v>
      </c>
    </row>
    <row r="100" ht="15.75" customHeight="1">
      <c r="A100" s="7">
        <v>96.0</v>
      </c>
      <c r="B100" s="7" t="s">
        <v>748</v>
      </c>
      <c r="C100" s="7">
        <v>13.0</v>
      </c>
      <c r="D100" s="10" t="s">
        <v>717</v>
      </c>
      <c r="E100" s="7" t="s">
        <v>905</v>
      </c>
      <c r="F100" s="8" t="s">
        <v>726</v>
      </c>
      <c r="G100" s="10" t="s">
        <v>727</v>
      </c>
      <c r="H100" s="10" t="s">
        <v>906</v>
      </c>
      <c r="I100" s="10" t="s">
        <v>729</v>
      </c>
      <c r="J100" s="10" t="s">
        <v>730</v>
      </c>
      <c r="K100" s="13">
        <v>30.0</v>
      </c>
      <c r="L100" s="10" t="s">
        <v>731</v>
      </c>
      <c r="M100" s="7">
        <f t="shared" si="1"/>
        <v>7</v>
      </c>
      <c r="N100" s="13" t="s">
        <v>41</v>
      </c>
    </row>
    <row r="101" ht="15.75" customHeight="1">
      <c r="A101" s="7">
        <v>97.0</v>
      </c>
      <c r="B101" s="7" t="s">
        <v>748</v>
      </c>
      <c r="C101" s="7">
        <v>13.0</v>
      </c>
      <c r="D101" s="10" t="s">
        <v>717</v>
      </c>
      <c r="E101" s="7" t="s">
        <v>910</v>
      </c>
      <c r="F101" s="8" t="s">
        <v>733</v>
      </c>
      <c r="G101" s="10" t="s">
        <v>736</v>
      </c>
      <c r="H101" s="10" t="s">
        <v>911</v>
      </c>
      <c r="I101" s="10" t="s">
        <v>691</v>
      </c>
      <c r="J101" s="10" t="s">
        <v>738</v>
      </c>
      <c r="K101" s="13">
        <v>15.0</v>
      </c>
      <c r="L101" s="10" t="s">
        <v>739</v>
      </c>
      <c r="M101" s="7">
        <f t="shared" si="1"/>
        <v>5</v>
      </c>
      <c r="N101" s="13" t="s">
        <v>41</v>
      </c>
    </row>
    <row r="102" ht="15.75" customHeight="1">
      <c r="A102" s="7">
        <v>98.0</v>
      </c>
      <c r="B102" s="7" t="s">
        <v>748</v>
      </c>
      <c r="C102" s="7">
        <v>13.0</v>
      </c>
      <c r="D102" s="10" t="s">
        <v>717</v>
      </c>
      <c r="E102" s="7" t="s">
        <v>912</v>
      </c>
      <c r="F102" s="8" t="s">
        <v>743</v>
      </c>
      <c r="G102" s="10" t="s">
        <v>744</v>
      </c>
      <c r="H102" s="10" t="s">
        <v>910</v>
      </c>
      <c r="I102" s="10" t="s">
        <v>745</v>
      </c>
      <c r="J102" s="10" t="s">
        <v>746</v>
      </c>
      <c r="K102" s="13">
        <v>30.0</v>
      </c>
      <c r="L102" s="10" t="s">
        <v>747</v>
      </c>
      <c r="M102" s="7">
        <f t="shared" si="1"/>
        <v>1</v>
      </c>
      <c r="N102" s="13" t="s">
        <v>41</v>
      </c>
    </row>
    <row r="103" ht="15.75" customHeight="1">
      <c r="A103" s="7">
        <v>99.0</v>
      </c>
      <c r="B103" s="7" t="s">
        <v>849</v>
      </c>
      <c r="C103" s="7">
        <v>1.0</v>
      </c>
      <c r="D103" s="10" t="s">
        <v>167</v>
      </c>
      <c r="E103" s="7" t="s">
        <v>384</v>
      </c>
      <c r="F103" s="8" t="s">
        <v>171</v>
      </c>
      <c r="G103" s="10" t="s">
        <v>173</v>
      </c>
      <c r="H103" s="10"/>
      <c r="I103" s="10" t="s">
        <v>176</v>
      </c>
      <c r="J103" s="10" t="s">
        <v>177</v>
      </c>
      <c r="K103" s="13">
        <v>7.0</v>
      </c>
      <c r="L103" s="10" t="s">
        <v>178</v>
      </c>
      <c r="M103" s="7">
        <f t="shared" si="1"/>
        <v>2</v>
      </c>
      <c r="N103" s="13" t="s">
        <v>41</v>
      </c>
    </row>
    <row r="104" ht="15.75" customHeight="1">
      <c r="A104" s="7">
        <v>100.0</v>
      </c>
      <c r="B104" s="7" t="s">
        <v>849</v>
      </c>
      <c r="C104" s="7">
        <v>1.0</v>
      </c>
      <c r="D104" s="10" t="s">
        <v>167</v>
      </c>
      <c r="E104" s="7" t="s">
        <v>404</v>
      </c>
      <c r="F104" s="8" t="s">
        <v>251</v>
      </c>
      <c r="G104" s="10" t="s">
        <v>252</v>
      </c>
      <c r="H104" s="10"/>
      <c r="I104" s="10" t="s">
        <v>253</v>
      </c>
      <c r="J104" s="10" t="s">
        <v>254</v>
      </c>
      <c r="K104" s="13">
        <v>7.0</v>
      </c>
      <c r="L104" s="10" t="s">
        <v>255</v>
      </c>
      <c r="M104" s="7">
        <f t="shared" si="1"/>
        <v>1</v>
      </c>
      <c r="N104" s="13" t="s">
        <v>41</v>
      </c>
    </row>
    <row r="105" ht="15.75" customHeight="1">
      <c r="A105" s="7">
        <v>101.0</v>
      </c>
      <c r="B105" s="7" t="s">
        <v>849</v>
      </c>
      <c r="C105" s="7">
        <v>1.0</v>
      </c>
      <c r="D105" s="10" t="s">
        <v>167</v>
      </c>
      <c r="E105" s="7" t="s">
        <v>410</v>
      </c>
      <c r="F105" s="8" t="s">
        <v>260</v>
      </c>
      <c r="G105" s="10" t="s">
        <v>261</v>
      </c>
      <c r="H105" s="10" t="s">
        <v>916</v>
      </c>
      <c r="I105" s="10" t="s">
        <v>264</v>
      </c>
      <c r="J105" s="10" t="s">
        <v>266</v>
      </c>
      <c r="K105" s="13">
        <v>10.0</v>
      </c>
      <c r="L105" s="10" t="s">
        <v>268</v>
      </c>
      <c r="M105" s="7">
        <f t="shared" si="1"/>
        <v>2</v>
      </c>
      <c r="N105" s="13" t="s">
        <v>41</v>
      </c>
    </row>
    <row r="106" ht="15.75" customHeight="1">
      <c r="A106" s="7">
        <v>102.0</v>
      </c>
      <c r="B106" s="7" t="s">
        <v>849</v>
      </c>
      <c r="C106" s="7">
        <v>1.0</v>
      </c>
      <c r="D106" s="10" t="s">
        <v>167</v>
      </c>
      <c r="E106" s="7" t="s">
        <v>921</v>
      </c>
      <c r="F106" s="8" t="s">
        <v>270</v>
      </c>
      <c r="G106" s="10" t="s">
        <v>271</v>
      </c>
      <c r="H106" s="10" t="s">
        <v>410</v>
      </c>
      <c r="I106" s="10" t="s">
        <v>272</v>
      </c>
      <c r="J106" s="10" t="s">
        <v>273</v>
      </c>
      <c r="K106" s="13">
        <v>7.0</v>
      </c>
      <c r="L106" s="10"/>
      <c r="M106" s="7">
        <f t="shared" si="1"/>
        <v>0</v>
      </c>
      <c r="N106" s="13" t="s">
        <v>41</v>
      </c>
    </row>
    <row r="107" ht="15.75" customHeight="1">
      <c r="A107" s="7">
        <v>103.0</v>
      </c>
      <c r="B107" s="7" t="s">
        <v>849</v>
      </c>
      <c r="C107" s="7">
        <v>1.0</v>
      </c>
      <c r="D107" s="10" t="s">
        <v>167</v>
      </c>
      <c r="E107" s="7" t="s">
        <v>928</v>
      </c>
      <c r="F107" s="8" t="s">
        <v>278</v>
      </c>
      <c r="G107" s="10" t="s">
        <v>279</v>
      </c>
      <c r="H107" s="10" t="s">
        <v>384</v>
      </c>
      <c r="I107" s="10" t="s">
        <v>280</v>
      </c>
      <c r="J107" s="10" t="s">
        <v>281</v>
      </c>
      <c r="K107" s="13">
        <v>5.0</v>
      </c>
      <c r="L107" s="10"/>
      <c r="M107" s="7">
        <f t="shared" si="1"/>
        <v>0</v>
      </c>
      <c r="N107" s="13" t="s">
        <v>41</v>
      </c>
    </row>
    <row r="108" ht="15.75" customHeight="1">
      <c r="A108" s="7">
        <v>104.0</v>
      </c>
      <c r="B108" s="7" t="s">
        <v>849</v>
      </c>
      <c r="C108" s="7">
        <v>2.0</v>
      </c>
      <c r="D108" s="10" t="s">
        <v>282</v>
      </c>
      <c r="E108" s="7" t="s">
        <v>392</v>
      </c>
      <c r="F108" s="8" t="s">
        <v>284</v>
      </c>
      <c r="G108" s="10" t="s">
        <v>285</v>
      </c>
      <c r="H108" s="10" t="s">
        <v>384</v>
      </c>
      <c r="I108" s="10" t="s">
        <v>286</v>
      </c>
      <c r="J108" s="10" t="s">
        <v>288</v>
      </c>
      <c r="K108" s="13">
        <v>3.0</v>
      </c>
      <c r="L108" s="10" t="s">
        <v>290</v>
      </c>
      <c r="M108" s="7">
        <f t="shared" si="1"/>
        <v>3</v>
      </c>
      <c r="N108" s="13" t="s">
        <v>41</v>
      </c>
    </row>
    <row r="109" ht="15.75" customHeight="1">
      <c r="A109" s="7">
        <v>105.0</v>
      </c>
      <c r="B109" s="7" t="s">
        <v>849</v>
      </c>
      <c r="C109" s="7">
        <v>2.0</v>
      </c>
      <c r="D109" s="10" t="s">
        <v>282</v>
      </c>
      <c r="E109" s="7" t="s">
        <v>854</v>
      </c>
      <c r="F109" s="8" t="s">
        <v>767</v>
      </c>
      <c r="G109" s="10" t="s">
        <v>768</v>
      </c>
      <c r="H109" s="10" t="s">
        <v>384</v>
      </c>
      <c r="I109" s="10" t="s">
        <v>938</v>
      </c>
      <c r="J109" s="10" t="s">
        <v>770</v>
      </c>
      <c r="K109" s="13">
        <v>7.0</v>
      </c>
      <c r="L109" s="10" t="s">
        <v>848</v>
      </c>
      <c r="M109" s="7">
        <f t="shared" si="1"/>
        <v>1</v>
      </c>
      <c r="N109" s="13" t="s">
        <v>41</v>
      </c>
    </row>
    <row r="110" ht="15.75" customHeight="1">
      <c r="A110" s="7">
        <v>106.0</v>
      </c>
      <c r="B110" s="7" t="s">
        <v>849</v>
      </c>
      <c r="C110" s="7">
        <v>2.0</v>
      </c>
      <c r="D110" s="10" t="s">
        <v>282</v>
      </c>
      <c r="E110" s="7" t="s">
        <v>940</v>
      </c>
      <c r="F110" s="8" t="s">
        <v>397</v>
      </c>
      <c r="G110" s="10" t="s">
        <v>399</v>
      </c>
      <c r="H110" s="10" t="s">
        <v>928</v>
      </c>
      <c r="I110" s="10" t="s">
        <v>401</v>
      </c>
      <c r="J110" s="10" t="s">
        <v>402</v>
      </c>
      <c r="K110" s="13">
        <v>3.0</v>
      </c>
      <c r="L110" s="10"/>
      <c r="M110" s="7">
        <f t="shared" si="1"/>
        <v>0</v>
      </c>
      <c r="N110" s="13" t="s">
        <v>41</v>
      </c>
    </row>
    <row r="111" ht="15.75" customHeight="1">
      <c r="A111" s="7">
        <v>107.0</v>
      </c>
      <c r="B111" s="7" t="s">
        <v>849</v>
      </c>
      <c r="C111" s="7">
        <v>2.0</v>
      </c>
      <c r="D111" s="10" t="s">
        <v>282</v>
      </c>
      <c r="E111" s="7" t="s">
        <v>944</v>
      </c>
      <c r="F111" s="8" t="s">
        <v>412</v>
      </c>
      <c r="G111" s="10" t="s">
        <v>414</v>
      </c>
      <c r="H111" s="10" t="s">
        <v>945</v>
      </c>
      <c r="I111" s="10" t="s">
        <v>416</v>
      </c>
      <c r="J111" s="10" t="s">
        <v>418</v>
      </c>
      <c r="K111" s="13">
        <v>2.0</v>
      </c>
      <c r="L111" s="10"/>
      <c r="M111" s="7">
        <f t="shared" si="1"/>
        <v>0</v>
      </c>
      <c r="N111" s="13" t="s">
        <v>41</v>
      </c>
    </row>
    <row r="112" ht="15.75" customHeight="1">
      <c r="A112" s="7">
        <v>108.0</v>
      </c>
      <c r="B112" s="7" t="s">
        <v>849</v>
      </c>
      <c r="C112" s="7">
        <v>3.0</v>
      </c>
      <c r="D112" s="10" t="s">
        <v>777</v>
      </c>
      <c r="E112" s="7" t="s">
        <v>378</v>
      </c>
      <c r="F112" s="8" t="s">
        <v>778</v>
      </c>
      <c r="G112" s="10" t="s">
        <v>779</v>
      </c>
      <c r="H112" s="10" t="s">
        <v>944</v>
      </c>
      <c r="I112" s="10" t="s">
        <v>780</v>
      </c>
      <c r="J112" s="10" t="s">
        <v>781</v>
      </c>
      <c r="K112" s="13">
        <v>7.0</v>
      </c>
      <c r="L112" s="10" t="s">
        <v>431</v>
      </c>
      <c r="M112" s="7">
        <f t="shared" si="1"/>
        <v>4</v>
      </c>
      <c r="N112" s="13" t="s">
        <v>41</v>
      </c>
    </row>
    <row r="113" ht="15.75" customHeight="1">
      <c r="A113" s="7">
        <v>109.0</v>
      </c>
      <c r="B113" s="7" t="s">
        <v>849</v>
      </c>
      <c r="C113" s="7">
        <v>3.0</v>
      </c>
      <c r="D113" s="10" t="s">
        <v>777</v>
      </c>
      <c r="E113" s="7" t="s">
        <v>948</v>
      </c>
      <c r="F113" s="8" t="s">
        <v>783</v>
      </c>
      <c r="G113" s="10" t="s">
        <v>949</v>
      </c>
      <c r="H113" s="10" t="s">
        <v>378</v>
      </c>
      <c r="I113" s="10" t="s">
        <v>780</v>
      </c>
      <c r="J113" s="10" t="s">
        <v>438</v>
      </c>
      <c r="K113" s="13">
        <v>1.0</v>
      </c>
      <c r="L113" s="10"/>
      <c r="M113" s="7">
        <f t="shared" si="1"/>
        <v>0</v>
      </c>
      <c r="N113" s="13" t="s">
        <v>41</v>
      </c>
    </row>
    <row r="114" ht="15.75" customHeight="1">
      <c r="A114" s="7">
        <v>110.0</v>
      </c>
      <c r="B114" s="7" t="s">
        <v>849</v>
      </c>
      <c r="C114" s="7">
        <v>3.0</v>
      </c>
      <c r="D114" s="10" t="s">
        <v>777</v>
      </c>
      <c r="E114" s="7" t="s">
        <v>456</v>
      </c>
      <c r="F114" s="8" t="s">
        <v>785</v>
      </c>
      <c r="G114" s="10" t="s">
        <v>786</v>
      </c>
      <c r="H114" s="10" t="s">
        <v>948</v>
      </c>
      <c r="I114" s="10" t="s">
        <v>953</v>
      </c>
      <c r="J114" s="10" t="s">
        <v>788</v>
      </c>
      <c r="K114" s="13">
        <v>60.0</v>
      </c>
      <c r="L114" s="10" t="s">
        <v>448</v>
      </c>
      <c r="M114" s="7">
        <f t="shared" si="1"/>
        <v>1</v>
      </c>
      <c r="N114" s="13" t="s">
        <v>41</v>
      </c>
    </row>
    <row r="115" ht="15.75" customHeight="1">
      <c r="A115" s="7">
        <v>111.0</v>
      </c>
      <c r="B115" s="7" t="s">
        <v>849</v>
      </c>
      <c r="C115" s="7">
        <v>3.0</v>
      </c>
      <c r="D115" s="10" t="s">
        <v>777</v>
      </c>
      <c r="E115" s="7" t="s">
        <v>957</v>
      </c>
      <c r="F115" s="8" t="s">
        <v>792</v>
      </c>
      <c r="G115" s="10" t="s">
        <v>793</v>
      </c>
      <c r="H115" s="10" t="s">
        <v>456</v>
      </c>
      <c r="I115" s="10" t="s">
        <v>953</v>
      </c>
      <c r="J115" s="10" t="s">
        <v>794</v>
      </c>
      <c r="K115" s="13">
        <v>45.0</v>
      </c>
      <c r="L115" s="10"/>
      <c r="M115" s="7">
        <f t="shared" si="1"/>
        <v>0</v>
      </c>
      <c r="N115" s="13" t="s">
        <v>41</v>
      </c>
    </row>
    <row r="116" ht="15.75" customHeight="1">
      <c r="A116" s="7">
        <v>112.0</v>
      </c>
      <c r="B116" s="7" t="s">
        <v>849</v>
      </c>
      <c r="C116" s="7">
        <v>3.0</v>
      </c>
      <c r="D116" s="10" t="s">
        <v>777</v>
      </c>
      <c r="E116" s="7" t="s">
        <v>514</v>
      </c>
      <c r="F116" s="8" t="s">
        <v>795</v>
      </c>
      <c r="G116" s="10" t="s">
        <v>796</v>
      </c>
      <c r="H116" s="10" t="s">
        <v>957</v>
      </c>
      <c r="I116" s="10" t="s">
        <v>407</v>
      </c>
      <c r="J116" s="10" t="s">
        <v>458</v>
      </c>
      <c r="K116" s="13">
        <v>3.0</v>
      </c>
      <c r="L116" s="10" t="s">
        <v>460</v>
      </c>
      <c r="M116" s="7">
        <f t="shared" si="1"/>
        <v>1</v>
      </c>
      <c r="N116" s="13" t="s">
        <v>41</v>
      </c>
    </row>
    <row r="117" ht="15.75" customHeight="1">
      <c r="A117" s="7">
        <v>113.0</v>
      </c>
      <c r="B117" s="7" t="s">
        <v>849</v>
      </c>
      <c r="C117" s="7">
        <v>3.0</v>
      </c>
      <c r="D117" s="10" t="s">
        <v>777</v>
      </c>
      <c r="E117" s="7" t="s">
        <v>532</v>
      </c>
      <c r="F117" s="8" t="s">
        <v>797</v>
      </c>
      <c r="G117" s="10" t="s">
        <v>798</v>
      </c>
      <c r="H117" s="10" t="s">
        <v>514</v>
      </c>
      <c r="I117" s="10" t="s">
        <v>801</v>
      </c>
      <c r="J117" s="10" t="s">
        <v>802</v>
      </c>
      <c r="K117" s="13">
        <v>45.0</v>
      </c>
      <c r="L117" s="10" t="s">
        <v>961</v>
      </c>
      <c r="M117" s="7">
        <f t="shared" si="1"/>
        <v>2</v>
      </c>
      <c r="N117" s="13" t="s">
        <v>41</v>
      </c>
    </row>
    <row r="118" ht="15.75" customHeight="1">
      <c r="A118" s="7">
        <v>114.0</v>
      </c>
      <c r="B118" s="7" t="s">
        <v>849</v>
      </c>
      <c r="C118" s="7">
        <v>4.0</v>
      </c>
      <c r="D118" s="10" t="s">
        <v>421</v>
      </c>
      <c r="E118" s="7" t="s">
        <v>966</v>
      </c>
      <c r="F118" s="8" t="s">
        <v>477</v>
      </c>
      <c r="G118" s="10" t="s">
        <v>478</v>
      </c>
      <c r="H118" s="10" t="s">
        <v>944</v>
      </c>
      <c r="I118" s="10" t="s">
        <v>407</v>
      </c>
      <c r="J118" s="10" t="s">
        <v>479</v>
      </c>
      <c r="K118" s="13">
        <v>5.0</v>
      </c>
      <c r="L118" s="10"/>
      <c r="M118" s="7">
        <f t="shared" si="1"/>
        <v>0</v>
      </c>
      <c r="N118" s="13" t="s">
        <v>41</v>
      </c>
    </row>
    <row r="119" ht="15.75" customHeight="1">
      <c r="A119" s="7">
        <v>115.0</v>
      </c>
      <c r="B119" s="7" t="s">
        <v>849</v>
      </c>
      <c r="C119" s="7">
        <v>4.0</v>
      </c>
      <c r="D119" s="10" t="s">
        <v>421</v>
      </c>
      <c r="E119" s="7" t="s">
        <v>590</v>
      </c>
      <c r="F119" s="8" t="s">
        <v>483</v>
      </c>
      <c r="G119" s="10" t="s">
        <v>484</v>
      </c>
      <c r="H119" s="10" t="s">
        <v>970</v>
      </c>
      <c r="I119" s="10" t="s">
        <v>280</v>
      </c>
      <c r="J119" s="10" t="s">
        <v>486</v>
      </c>
      <c r="K119" s="13">
        <v>7.0</v>
      </c>
      <c r="L119" s="10" t="s">
        <v>488</v>
      </c>
      <c r="M119" s="7">
        <f t="shared" si="1"/>
        <v>1</v>
      </c>
      <c r="N119" s="13" t="s">
        <v>41</v>
      </c>
    </row>
    <row r="120" ht="15.75" customHeight="1">
      <c r="A120" s="7">
        <v>116.0</v>
      </c>
      <c r="B120" s="7" t="s">
        <v>849</v>
      </c>
      <c r="C120" s="7">
        <v>4.0</v>
      </c>
      <c r="D120" s="10" t="s">
        <v>421</v>
      </c>
      <c r="E120" s="7" t="s">
        <v>424</v>
      </c>
      <c r="F120" s="8" t="s">
        <v>492</v>
      </c>
      <c r="G120" s="10" t="s">
        <v>493</v>
      </c>
      <c r="H120" s="10" t="s">
        <v>590</v>
      </c>
      <c r="I120" s="10" t="s">
        <v>494</v>
      </c>
      <c r="J120" s="10" t="s">
        <v>495</v>
      </c>
      <c r="K120" s="13">
        <v>10.0</v>
      </c>
      <c r="L120" s="10" t="s">
        <v>496</v>
      </c>
      <c r="M120" s="7">
        <f t="shared" si="1"/>
        <v>3</v>
      </c>
      <c r="N120" s="13" t="s">
        <v>41</v>
      </c>
    </row>
    <row r="121" ht="15.75" customHeight="1">
      <c r="A121" s="7">
        <v>117.0</v>
      </c>
      <c r="B121" s="7" t="s">
        <v>849</v>
      </c>
      <c r="C121" s="7">
        <v>4.0</v>
      </c>
      <c r="D121" s="10" t="s">
        <v>421</v>
      </c>
      <c r="E121" s="7" t="s">
        <v>972</v>
      </c>
      <c r="F121" s="8" t="s">
        <v>500</v>
      </c>
      <c r="G121" s="10" t="s">
        <v>501</v>
      </c>
      <c r="H121" s="10" t="s">
        <v>424</v>
      </c>
      <c r="I121" s="10" t="s">
        <v>502</v>
      </c>
      <c r="J121" s="10" t="s">
        <v>503</v>
      </c>
      <c r="K121" s="13">
        <v>5.0</v>
      </c>
      <c r="L121" s="10"/>
      <c r="M121" s="7">
        <f t="shared" si="1"/>
        <v>0</v>
      </c>
      <c r="N121" s="13" t="s">
        <v>41</v>
      </c>
    </row>
    <row r="122" ht="15.75" customHeight="1">
      <c r="A122" s="7">
        <v>118.0</v>
      </c>
      <c r="B122" s="7" t="s">
        <v>849</v>
      </c>
      <c r="C122" s="7">
        <v>5.0</v>
      </c>
      <c r="D122" s="10" t="s">
        <v>464</v>
      </c>
      <c r="E122" s="7" t="s">
        <v>642</v>
      </c>
      <c r="F122" s="8" t="s">
        <v>505</v>
      </c>
      <c r="G122" s="10" t="s">
        <v>506</v>
      </c>
      <c r="H122" s="10" t="s">
        <v>424</v>
      </c>
      <c r="I122" s="10" t="s">
        <v>507</v>
      </c>
      <c r="J122" s="10" t="s">
        <v>508</v>
      </c>
      <c r="K122" s="13">
        <v>2.0</v>
      </c>
      <c r="L122" s="10" t="s">
        <v>509</v>
      </c>
      <c r="M122" s="7">
        <f t="shared" si="1"/>
        <v>1</v>
      </c>
      <c r="N122" s="13" t="s">
        <v>41</v>
      </c>
    </row>
    <row r="123" ht="15.75" customHeight="1">
      <c r="A123" s="7">
        <v>119.0</v>
      </c>
      <c r="B123" s="7" t="s">
        <v>849</v>
      </c>
      <c r="C123" s="7">
        <v>5.0</v>
      </c>
      <c r="D123" s="10" t="s">
        <v>464</v>
      </c>
      <c r="E123" s="7" t="s">
        <v>467</v>
      </c>
      <c r="F123" s="8" t="s">
        <v>510</v>
      </c>
      <c r="G123" s="10" t="s">
        <v>511</v>
      </c>
      <c r="H123" s="10" t="s">
        <v>642</v>
      </c>
      <c r="I123" s="10" t="s">
        <v>462</v>
      </c>
      <c r="J123" s="10" t="s">
        <v>513</v>
      </c>
      <c r="K123" s="13">
        <v>30.0</v>
      </c>
      <c r="L123" s="10" t="s">
        <v>459</v>
      </c>
      <c r="M123" s="7">
        <f t="shared" si="1"/>
        <v>1</v>
      </c>
      <c r="N123" s="13" t="s">
        <v>41</v>
      </c>
    </row>
    <row r="124" ht="15.75" customHeight="1">
      <c r="A124" s="7">
        <v>120.0</v>
      </c>
      <c r="B124" s="7" t="s">
        <v>849</v>
      </c>
      <c r="C124" s="7">
        <v>5.0</v>
      </c>
      <c r="D124" s="10" t="s">
        <v>464</v>
      </c>
      <c r="E124" s="7" t="s">
        <v>890</v>
      </c>
      <c r="F124" s="8" t="s">
        <v>516</v>
      </c>
      <c r="G124" s="10" t="s">
        <v>517</v>
      </c>
      <c r="H124" s="10" t="s">
        <v>642</v>
      </c>
      <c r="I124" s="10" t="s">
        <v>518</v>
      </c>
      <c r="J124" s="10" t="s">
        <v>513</v>
      </c>
      <c r="K124" s="13">
        <v>30.0</v>
      </c>
      <c r="L124" s="10" t="s">
        <v>885</v>
      </c>
      <c r="M124" s="7">
        <f t="shared" si="1"/>
        <v>1</v>
      </c>
      <c r="N124" s="13" t="s">
        <v>41</v>
      </c>
    </row>
    <row r="125" ht="15.75" customHeight="1">
      <c r="A125" s="7">
        <v>121.0</v>
      </c>
      <c r="B125" s="7" t="s">
        <v>849</v>
      </c>
      <c r="C125" s="7">
        <v>5.0</v>
      </c>
      <c r="D125" s="10" t="s">
        <v>464</v>
      </c>
      <c r="E125" s="7" t="s">
        <v>982</v>
      </c>
      <c r="F125" s="8" t="s">
        <v>520</v>
      </c>
      <c r="G125" s="10" t="s">
        <v>983</v>
      </c>
      <c r="H125" s="10" t="s">
        <v>642</v>
      </c>
      <c r="I125" s="10" t="s">
        <v>878</v>
      </c>
      <c r="J125" s="10" t="s">
        <v>525</v>
      </c>
      <c r="K125" s="13">
        <v>15.0</v>
      </c>
      <c r="L125" s="10"/>
      <c r="M125" s="7">
        <f t="shared" si="1"/>
        <v>0</v>
      </c>
      <c r="N125" s="13" t="s">
        <v>41</v>
      </c>
    </row>
    <row r="126" ht="15.75" customHeight="1">
      <c r="A126" s="7">
        <v>122.0</v>
      </c>
      <c r="B126" s="7" t="s">
        <v>849</v>
      </c>
      <c r="C126" s="7">
        <v>5.0</v>
      </c>
      <c r="D126" s="10" t="s">
        <v>464</v>
      </c>
      <c r="E126" s="7" t="s">
        <v>623</v>
      </c>
      <c r="F126" s="8" t="s">
        <v>529</v>
      </c>
      <c r="G126" s="10" t="s">
        <v>531</v>
      </c>
      <c r="H126" s="10" t="s">
        <v>642</v>
      </c>
      <c r="I126" s="10" t="s">
        <v>872</v>
      </c>
      <c r="J126" s="10" t="s">
        <v>534</v>
      </c>
      <c r="K126" s="13">
        <v>15.0</v>
      </c>
      <c r="L126" s="10" t="s">
        <v>987</v>
      </c>
      <c r="M126" s="7">
        <f t="shared" si="1"/>
        <v>2</v>
      </c>
      <c r="N126" s="13" t="s">
        <v>41</v>
      </c>
    </row>
    <row r="127" ht="15.75" customHeight="1">
      <c r="A127" s="7">
        <v>123.0</v>
      </c>
      <c r="B127" s="7" t="s">
        <v>849</v>
      </c>
      <c r="C127" s="7">
        <v>5.0</v>
      </c>
      <c r="D127" s="10" t="s">
        <v>464</v>
      </c>
      <c r="E127" s="7" t="s">
        <v>883</v>
      </c>
      <c r="F127" s="8" t="s">
        <v>830</v>
      </c>
      <c r="G127" s="10" t="s">
        <v>831</v>
      </c>
      <c r="H127" s="10" t="s">
        <v>642</v>
      </c>
      <c r="I127" s="10" t="s">
        <v>878</v>
      </c>
      <c r="J127" s="10" t="s">
        <v>832</v>
      </c>
      <c r="K127" s="13">
        <v>15.0</v>
      </c>
      <c r="L127" s="10" t="s">
        <v>880</v>
      </c>
      <c r="M127" s="7">
        <f t="shared" si="1"/>
        <v>1</v>
      </c>
      <c r="N127" s="13" t="s">
        <v>41</v>
      </c>
    </row>
    <row r="128" ht="15.75" customHeight="1">
      <c r="A128" s="7">
        <v>124.0</v>
      </c>
      <c r="B128" s="7" t="s">
        <v>849</v>
      </c>
      <c r="C128" s="7">
        <v>5.0</v>
      </c>
      <c r="D128" s="10" t="s">
        <v>464</v>
      </c>
      <c r="E128" s="7" t="s">
        <v>896</v>
      </c>
      <c r="F128" s="8" t="s">
        <v>994</v>
      </c>
      <c r="G128" s="10" t="s">
        <v>995</v>
      </c>
      <c r="H128" s="10" t="s">
        <v>642</v>
      </c>
      <c r="I128" s="10" t="s">
        <v>996</v>
      </c>
      <c r="J128" s="10" t="s">
        <v>464</v>
      </c>
      <c r="K128" s="13">
        <v>45.0</v>
      </c>
      <c r="L128" s="10" t="s">
        <v>997</v>
      </c>
      <c r="M128" s="7">
        <f t="shared" si="1"/>
        <v>3</v>
      </c>
      <c r="N128" s="13" t="s">
        <v>41</v>
      </c>
    </row>
    <row r="129" ht="15.75" customHeight="1">
      <c r="A129" s="7">
        <v>125.0</v>
      </c>
      <c r="B129" s="7" t="s">
        <v>849</v>
      </c>
      <c r="C129" s="7">
        <v>6.0</v>
      </c>
      <c r="D129" s="10" t="s">
        <v>538</v>
      </c>
      <c r="E129" s="7" t="s">
        <v>999</v>
      </c>
      <c r="F129" s="8" t="s">
        <v>540</v>
      </c>
      <c r="G129" s="10" t="s">
        <v>541</v>
      </c>
      <c r="H129" s="10"/>
      <c r="I129" s="10" t="s">
        <v>372</v>
      </c>
      <c r="J129" s="10" t="s">
        <v>542</v>
      </c>
      <c r="K129" s="13">
        <v>1.0</v>
      </c>
      <c r="L129" s="10"/>
      <c r="M129" s="7">
        <f t="shared" si="1"/>
        <v>0</v>
      </c>
      <c r="N129" s="13" t="s">
        <v>41</v>
      </c>
    </row>
    <row r="130" ht="15.75" customHeight="1">
      <c r="A130" s="7">
        <v>126.0</v>
      </c>
      <c r="B130" s="7" t="s">
        <v>849</v>
      </c>
      <c r="C130" s="7">
        <v>6.0</v>
      </c>
      <c r="D130" s="10" t="s">
        <v>538</v>
      </c>
      <c r="E130" s="7" t="s">
        <v>545</v>
      </c>
      <c r="F130" s="8" t="s">
        <v>547</v>
      </c>
      <c r="G130" s="10" t="s">
        <v>548</v>
      </c>
      <c r="H130" s="10" t="s">
        <v>1003</v>
      </c>
      <c r="I130" s="10" t="s">
        <v>372</v>
      </c>
      <c r="J130" s="10" t="s">
        <v>551</v>
      </c>
      <c r="K130" s="13">
        <v>2.0</v>
      </c>
      <c r="L130" s="10" t="s">
        <v>1004</v>
      </c>
      <c r="M130" s="7">
        <f t="shared" si="1"/>
        <v>8</v>
      </c>
      <c r="N130" s="13" t="s">
        <v>41</v>
      </c>
    </row>
    <row r="131" ht="15.75" customHeight="1">
      <c r="A131" s="7">
        <v>127.0</v>
      </c>
      <c r="B131" s="7" t="s">
        <v>849</v>
      </c>
      <c r="C131" s="7">
        <v>6.0</v>
      </c>
      <c r="D131" s="10" t="s">
        <v>538</v>
      </c>
      <c r="E131" s="7" t="s">
        <v>659</v>
      </c>
      <c r="F131" s="8" t="s">
        <v>554</v>
      </c>
      <c r="G131" s="10" t="s">
        <v>555</v>
      </c>
      <c r="H131" s="10" t="s">
        <v>545</v>
      </c>
      <c r="I131" s="10" t="s">
        <v>407</v>
      </c>
      <c r="J131" s="10" t="s">
        <v>498</v>
      </c>
      <c r="K131" s="13">
        <v>1.0</v>
      </c>
      <c r="L131" s="10" t="s">
        <v>557</v>
      </c>
      <c r="M131" s="7">
        <f t="shared" si="1"/>
        <v>1</v>
      </c>
      <c r="N131" s="13" t="s">
        <v>41</v>
      </c>
    </row>
    <row r="132" ht="15.75" customHeight="1">
      <c r="A132" s="7">
        <v>128.0</v>
      </c>
      <c r="B132" s="7" t="s">
        <v>849</v>
      </c>
      <c r="C132" s="7">
        <v>7.0</v>
      </c>
      <c r="D132" s="10" t="s">
        <v>568</v>
      </c>
      <c r="E132" s="7" t="s">
        <v>1010</v>
      </c>
      <c r="F132" s="8" t="s">
        <v>571</v>
      </c>
      <c r="G132" s="10" t="s">
        <v>572</v>
      </c>
      <c r="H132" s="10" t="s">
        <v>659</v>
      </c>
      <c r="I132" s="10" t="s">
        <v>1011</v>
      </c>
      <c r="J132" s="10" t="s">
        <v>449</v>
      </c>
      <c r="K132" s="13">
        <v>20.0</v>
      </c>
      <c r="L132" s="10"/>
      <c r="M132" s="7">
        <f t="shared" si="1"/>
        <v>0</v>
      </c>
      <c r="N132" s="13" t="s">
        <v>41</v>
      </c>
    </row>
    <row r="133" ht="15.75" customHeight="1">
      <c r="A133" s="7">
        <v>129.0</v>
      </c>
      <c r="B133" s="7" t="s">
        <v>849</v>
      </c>
      <c r="C133" s="7">
        <v>7.0</v>
      </c>
      <c r="D133" s="10" t="s">
        <v>568</v>
      </c>
      <c r="E133" s="7" t="s">
        <v>672</v>
      </c>
      <c r="F133" s="8" t="s">
        <v>576</v>
      </c>
      <c r="G133" s="10" t="s">
        <v>578</v>
      </c>
      <c r="H133" s="10" t="s">
        <v>1010</v>
      </c>
      <c r="I133" s="10" t="s">
        <v>494</v>
      </c>
      <c r="J133" s="10" t="s">
        <v>580</v>
      </c>
      <c r="K133" s="13">
        <v>10.0</v>
      </c>
      <c r="L133" s="10" t="s">
        <v>581</v>
      </c>
      <c r="M133" s="7">
        <f t="shared" si="1"/>
        <v>1</v>
      </c>
      <c r="N133" s="13" t="s">
        <v>41</v>
      </c>
    </row>
    <row r="134" ht="15.75" customHeight="1">
      <c r="A134" s="7">
        <v>130.0</v>
      </c>
      <c r="B134" s="7" t="s">
        <v>849</v>
      </c>
      <c r="C134" s="7">
        <v>7.0</v>
      </c>
      <c r="D134" s="10" t="s">
        <v>568</v>
      </c>
      <c r="E134" s="7" t="s">
        <v>1020</v>
      </c>
      <c r="F134" s="8" t="s">
        <v>583</v>
      </c>
      <c r="G134" s="10" t="s">
        <v>584</v>
      </c>
      <c r="H134" s="10" t="s">
        <v>672</v>
      </c>
      <c r="I134" s="10" t="s">
        <v>1011</v>
      </c>
      <c r="J134" s="10" t="s">
        <v>585</v>
      </c>
      <c r="K134" s="13">
        <v>20.0</v>
      </c>
      <c r="L134" s="10"/>
      <c r="M134" s="7">
        <f t="shared" si="1"/>
        <v>0</v>
      </c>
      <c r="N134" s="13" t="s">
        <v>41</v>
      </c>
    </row>
    <row r="135" ht="15.75" customHeight="1">
      <c r="A135" s="7">
        <v>131.0</v>
      </c>
      <c r="B135" s="7" t="s">
        <v>849</v>
      </c>
      <c r="C135" s="7">
        <v>8.0</v>
      </c>
      <c r="D135" s="10" t="s">
        <v>589</v>
      </c>
      <c r="E135" s="7" t="s">
        <v>1024</v>
      </c>
      <c r="F135" s="8" t="s">
        <v>592</v>
      </c>
      <c r="G135" s="10" t="s">
        <v>593</v>
      </c>
      <c r="H135" s="10" t="s">
        <v>1020</v>
      </c>
      <c r="I135" s="10" t="s">
        <v>1025</v>
      </c>
      <c r="J135" s="10" t="s">
        <v>595</v>
      </c>
      <c r="K135" s="13">
        <v>5.0</v>
      </c>
      <c r="L135" s="10"/>
      <c r="M135" s="7">
        <f t="shared" si="1"/>
        <v>0</v>
      </c>
      <c r="N135" s="13" t="s">
        <v>41</v>
      </c>
    </row>
    <row r="136" ht="15.75" customHeight="1">
      <c r="A136" s="7">
        <v>132.0</v>
      </c>
      <c r="B136" s="7" t="s">
        <v>849</v>
      </c>
      <c r="C136" s="7">
        <v>8.0</v>
      </c>
      <c r="D136" s="10" t="s">
        <v>589</v>
      </c>
      <c r="E136" s="7" t="s">
        <v>684</v>
      </c>
      <c r="F136" s="8" t="s">
        <v>601</v>
      </c>
      <c r="G136" s="10" t="s">
        <v>602</v>
      </c>
      <c r="H136" s="10" t="s">
        <v>1024</v>
      </c>
      <c r="I136" s="10" t="s">
        <v>407</v>
      </c>
      <c r="J136" s="10" t="s">
        <v>603</v>
      </c>
      <c r="K136" s="13">
        <v>5.0</v>
      </c>
      <c r="L136" s="10" t="s">
        <v>1029</v>
      </c>
      <c r="M136" s="7">
        <f t="shared" si="1"/>
        <v>2</v>
      </c>
      <c r="N136" s="13" t="s">
        <v>41</v>
      </c>
    </row>
    <row r="137" ht="15.75" customHeight="1">
      <c r="A137" s="7">
        <v>133.0</v>
      </c>
      <c r="B137" s="7" t="s">
        <v>849</v>
      </c>
      <c r="C137" s="7">
        <v>9.0</v>
      </c>
      <c r="D137" s="10" t="s">
        <v>607</v>
      </c>
      <c r="E137" s="7" t="s">
        <v>695</v>
      </c>
      <c r="F137" s="8" t="s">
        <v>366</v>
      </c>
      <c r="G137" s="10" t="s">
        <v>1031</v>
      </c>
      <c r="H137" s="10" t="s">
        <v>684</v>
      </c>
      <c r="I137" s="10" t="s">
        <v>253</v>
      </c>
      <c r="J137" s="10" t="s">
        <v>611</v>
      </c>
      <c r="K137" s="13">
        <v>7.0</v>
      </c>
      <c r="L137" s="10" t="s">
        <v>1033</v>
      </c>
      <c r="M137" s="7">
        <f t="shared" si="1"/>
        <v>12</v>
      </c>
      <c r="N137" s="13" t="s">
        <v>41</v>
      </c>
    </row>
    <row r="138" ht="15.75" customHeight="1">
      <c r="A138" s="7">
        <v>134.0</v>
      </c>
      <c r="B138" s="7" t="s">
        <v>849</v>
      </c>
      <c r="C138" s="7">
        <v>9.0</v>
      </c>
      <c r="D138" s="10" t="s">
        <v>607</v>
      </c>
      <c r="E138" s="7" t="s">
        <v>710</v>
      </c>
      <c r="F138" s="8" t="s">
        <v>860</v>
      </c>
      <c r="G138" s="10" t="s">
        <v>861</v>
      </c>
      <c r="H138" s="10" t="s">
        <v>695</v>
      </c>
      <c r="I138" s="10" t="s">
        <v>1011</v>
      </c>
      <c r="J138" s="10" t="s">
        <v>619</v>
      </c>
      <c r="K138" s="13">
        <v>15.0</v>
      </c>
      <c r="L138" s="10" t="s">
        <v>701</v>
      </c>
      <c r="M138" s="7">
        <f t="shared" si="1"/>
        <v>1</v>
      </c>
      <c r="N138" s="13" t="s">
        <v>41</v>
      </c>
    </row>
    <row r="139" ht="15.75" customHeight="1">
      <c r="A139" s="7">
        <v>135.0</v>
      </c>
      <c r="B139" s="7" t="s">
        <v>849</v>
      </c>
      <c r="C139" s="7">
        <v>10.0</v>
      </c>
      <c r="D139" s="10" t="s">
        <v>631</v>
      </c>
      <c r="E139" s="7" t="s">
        <v>1036</v>
      </c>
      <c r="F139" s="8" t="s">
        <v>170</v>
      </c>
      <c r="G139" s="10" t="s">
        <v>633</v>
      </c>
      <c r="H139" s="10" t="s">
        <v>710</v>
      </c>
      <c r="I139" s="10" t="s">
        <v>634</v>
      </c>
      <c r="J139" s="10" t="s">
        <v>170</v>
      </c>
      <c r="K139" s="13">
        <v>45.0</v>
      </c>
      <c r="L139" s="10"/>
      <c r="M139" s="7">
        <f t="shared" si="1"/>
        <v>0</v>
      </c>
      <c r="N139" s="13" t="s">
        <v>41</v>
      </c>
    </row>
    <row r="140" ht="15.75" customHeight="1">
      <c r="A140" s="7">
        <v>136.0</v>
      </c>
      <c r="B140" s="7" t="s">
        <v>849</v>
      </c>
      <c r="C140" s="7">
        <v>10.0</v>
      </c>
      <c r="D140" s="10" t="s">
        <v>631</v>
      </c>
      <c r="E140" s="7" t="s">
        <v>1038</v>
      </c>
      <c r="F140" s="8" t="s">
        <v>638</v>
      </c>
      <c r="G140" s="10" t="s">
        <v>639</v>
      </c>
      <c r="H140" s="10" t="s">
        <v>710</v>
      </c>
      <c r="I140" s="10" t="s">
        <v>634</v>
      </c>
      <c r="J140" s="10" t="s">
        <v>638</v>
      </c>
      <c r="K140" s="13">
        <v>30.0</v>
      </c>
      <c r="L140" s="10"/>
      <c r="M140" s="7">
        <f t="shared" si="1"/>
        <v>0</v>
      </c>
      <c r="N140" s="13" t="s">
        <v>41</v>
      </c>
    </row>
    <row r="141" ht="15.75" customHeight="1">
      <c r="A141" s="7">
        <v>137.0</v>
      </c>
      <c r="B141" s="7" t="s">
        <v>849</v>
      </c>
      <c r="C141" s="7">
        <v>10.0</v>
      </c>
      <c r="D141" s="10" t="s">
        <v>631</v>
      </c>
      <c r="E141" s="7" t="s">
        <v>1042</v>
      </c>
      <c r="F141" s="8" t="s">
        <v>645</v>
      </c>
      <c r="G141" s="10" t="s">
        <v>646</v>
      </c>
      <c r="H141" s="10" t="s">
        <v>710</v>
      </c>
      <c r="I141" s="10" t="s">
        <v>649</v>
      </c>
      <c r="J141" s="10" t="s">
        <v>650</v>
      </c>
      <c r="K141" s="13">
        <v>30.0</v>
      </c>
      <c r="L141" s="10"/>
      <c r="M141" s="7">
        <f t="shared" si="1"/>
        <v>0</v>
      </c>
      <c r="N141" s="13" t="s">
        <v>41</v>
      </c>
    </row>
    <row r="142" ht="15.75" customHeight="1">
      <c r="A142" s="7">
        <v>138.0</v>
      </c>
      <c r="B142" s="7" t="s">
        <v>849</v>
      </c>
      <c r="C142" s="7">
        <v>10.0</v>
      </c>
      <c r="D142" s="10" t="s">
        <v>631</v>
      </c>
      <c r="E142" s="7" t="s">
        <v>1043</v>
      </c>
      <c r="F142" s="8" t="s">
        <v>652</v>
      </c>
      <c r="G142" s="10" t="s">
        <v>653</v>
      </c>
      <c r="H142" s="10" t="s">
        <v>710</v>
      </c>
      <c r="I142" s="10" t="s">
        <v>1044</v>
      </c>
      <c r="J142" s="10" t="s">
        <v>655</v>
      </c>
      <c r="K142" s="13">
        <v>30.0</v>
      </c>
      <c r="L142" s="10"/>
      <c r="M142" s="7">
        <f t="shared" si="1"/>
        <v>0</v>
      </c>
      <c r="N142" s="13" t="s">
        <v>41</v>
      </c>
    </row>
    <row r="143" ht="15.75" customHeight="1">
      <c r="A143" s="7">
        <v>139.0</v>
      </c>
      <c r="B143" s="7" t="s">
        <v>849</v>
      </c>
      <c r="C143" s="7">
        <v>10.0</v>
      </c>
      <c r="D143" s="10" t="s">
        <v>631</v>
      </c>
      <c r="E143" s="7" t="s">
        <v>1047</v>
      </c>
      <c r="F143" s="8" t="s">
        <v>661</v>
      </c>
      <c r="G143" s="10" t="s">
        <v>662</v>
      </c>
      <c r="H143" s="10" t="s">
        <v>710</v>
      </c>
      <c r="I143" s="10" t="s">
        <v>663</v>
      </c>
      <c r="J143" s="10" t="s">
        <v>664</v>
      </c>
      <c r="K143" s="13">
        <v>10.0</v>
      </c>
      <c r="L143" s="10"/>
      <c r="M143" s="7">
        <f t="shared" si="1"/>
        <v>0</v>
      </c>
      <c r="N143" s="13" t="s">
        <v>41</v>
      </c>
    </row>
    <row r="144" ht="15.75" customHeight="1">
      <c r="A144" s="7">
        <v>140.0</v>
      </c>
      <c r="B144" s="7" t="s">
        <v>849</v>
      </c>
      <c r="C144" s="7">
        <v>10.0</v>
      </c>
      <c r="D144" s="10" t="s">
        <v>631</v>
      </c>
      <c r="E144" s="7" t="s">
        <v>919</v>
      </c>
      <c r="F144" s="8" t="s">
        <v>668</v>
      </c>
      <c r="G144" s="10" t="s">
        <v>669</v>
      </c>
      <c r="H144" s="10" t="s">
        <v>1049</v>
      </c>
      <c r="I144" s="10" t="s">
        <v>878</v>
      </c>
      <c r="J144" s="10" t="s">
        <v>449</v>
      </c>
      <c r="K144" s="13">
        <v>15.0</v>
      </c>
      <c r="L144" s="10" t="s">
        <v>915</v>
      </c>
      <c r="M144" s="7">
        <f t="shared" si="1"/>
        <v>1</v>
      </c>
      <c r="N144" s="13" t="s">
        <v>41</v>
      </c>
    </row>
    <row r="145" ht="15.75" customHeight="1">
      <c r="A145" s="7">
        <v>141.0</v>
      </c>
      <c r="B145" s="7" t="s">
        <v>849</v>
      </c>
      <c r="C145" s="7">
        <v>11.0</v>
      </c>
      <c r="D145" s="10" t="s">
        <v>676</v>
      </c>
      <c r="E145" s="7" t="s">
        <v>927</v>
      </c>
      <c r="F145" s="8" t="s">
        <v>678</v>
      </c>
      <c r="G145" s="10" t="s">
        <v>679</v>
      </c>
      <c r="H145" s="10" t="s">
        <v>919</v>
      </c>
      <c r="I145" s="10" t="s">
        <v>1054</v>
      </c>
      <c r="J145" s="10" t="s">
        <v>680</v>
      </c>
      <c r="K145" s="13">
        <v>15.0</v>
      </c>
      <c r="L145" s="10" t="s">
        <v>1055</v>
      </c>
      <c r="M145" s="7">
        <f t="shared" si="1"/>
        <v>2</v>
      </c>
      <c r="N145" s="13" t="s">
        <v>41</v>
      </c>
    </row>
    <row r="146" ht="15.75" customHeight="1">
      <c r="A146" s="7">
        <v>142.0</v>
      </c>
      <c r="B146" s="7" t="s">
        <v>849</v>
      </c>
      <c r="C146" s="7">
        <v>11.0</v>
      </c>
      <c r="D146" s="10" t="s">
        <v>676</v>
      </c>
      <c r="E146" s="7" t="s">
        <v>1057</v>
      </c>
      <c r="F146" s="8" t="s">
        <v>687</v>
      </c>
      <c r="G146" s="10" t="s">
        <v>688</v>
      </c>
      <c r="H146" s="10" t="s">
        <v>927</v>
      </c>
      <c r="I146" s="10" t="s">
        <v>407</v>
      </c>
      <c r="J146" s="10" t="s">
        <v>690</v>
      </c>
      <c r="K146" s="13">
        <v>1.0</v>
      </c>
      <c r="L146" s="10"/>
      <c r="M146" s="7">
        <f t="shared" si="1"/>
        <v>0</v>
      </c>
      <c r="N146" s="13" t="s">
        <v>41</v>
      </c>
    </row>
    <row r="147" ht="15.75" customHeight="1">
      <c r="A147" s="7">
        <v>143.0</v>
      </c>
      <c r="B147" s="7" t="s">
        <v>849</v>
      </c>
      <c r="C147" s="7">
        <v>12.0</v>
      </c>
      <c r="D147" s="10" t="s">
        <v>367</v>
      </c>
      <c r="E147" s="7" t="s">
        <v>976</v>
      </c>
      <c r="F147" s="8" t="s">
        <v>697</v>
      </c>
      <c r="G147" s="10" t="s">
        <v>698</v>
      </c>
      <c r="H147" s="10" t="s">
        <v>710</v>
      </c>
      <c r="I147" s="10" t="s">
        <v>699</v>
      </c>
      <c r="J147" s="10" t="s">
        <v>700</v>
      </c>
      <c r="K147" s="13">
        <v>1.0</v>
      </c>
      <c r="L147" s="10" t="s">
        <v>702</v>
      </c>
      <c r="M147" s="7">
        <f t="shared" si="1"/>
        <v>1</v>
      </c>
      <c r="N147" s="13" t="s">
        <v>41</v>
      </c>
    </row>
    <row r="148" ht="15.75" customHeight="1">
      <c r="A148" s="7">
        <v>144.0</v>
      </c>
      <c r="B148" s="7" t="s">
        <v>849</v>
      </c>
      <c r="C148" s="7">
        <v>12.0</v>
      </c>
      <c r="D148" s="10" t="s">
        <v>367</v>
      </c>
      <c r="E148" s="7" t="s">
        <v>981</v>
      </c>
      <c r="F148" s="8" t="s">
        <v>707</v>
      </c>
      <c r="G148" s="10" t="s">
        <v>708</v>
      </c>
      <c r="H148" s="10" t="s">
        <v>976</v>
      </c>
      <c r="I148" s="10" t="s">
        <v>711</v>
      </c>
      <c r="J148" s="10" t="s">
        <v>712</v>
      </c>
      <c r="K148" s="13">
        <v>30.0</v>
      </c>
      <c r="L148" s="10" t="s">
        <v>713</v>
      </c>
      <c r="M148" s="7">
        <f t="shared" si="1"/>
        <v>15</v>
      </c>
      <c r="N148" s="13" t="s">
        <v>41</v>
      </c>
    </row>
    <row r="149" ht="15.75" customHeight="1">
      <c r="A149" s="7">
        <v>145.0</v>
      </c>
      <c r="B149" s="7" t="s">
        <v>849</v>
      </c>
      <c r="C149" s="7">
        <v>13.0</v>
      </c>
      <c r="D149" s="10" t="s">
        <v>717</v>
      </c>
      <c r="E149" s="7" t="s">
        <v>1062</v>
      </c>
      <c r="F149" s="8" t="s">
        <v>720</v>
      </c>
      <c r="G149" s="10" t="s">
        <v>721</v>
      </c>
      <c r="H149" s="10" t="s">
        <v>927</v>
      </c>
      <c r="I149" s="10" t="s">
        <v>722</v>
      </c>
      <c r="J149" s="10" t="s">
        <v>720</v>
      </c>
      <c r="K149" s="13">
        <v>30.0</v>
      </c>
      <c r="L149" s="10" t="s">
        <v>723</v>
      </c>
      <c r="M149" s="7">
        <f t="shared" si="1"/>
        <v>1</v>
      </c>
      <c r="N149" s="13" t="s">
        <v>41</v>
      </c>
    </row>
    <row r="150" ht="15.75" customHeight="1">
      <c r="A150" s="7">
        <v>146.0</v>
      </c>
      <c r="B150" s="7" t="s">
        <v>849</v>
      </c>
      <c r="C150" s="7">
        <v>13.0</v>
      </c>
      <c r="D150" s="10" t="s">
        <v>717</v>
      </c>
      <c r="E150" s="7" t="s">
        <v>1058</v>
      </c>
      <c r="F150" s="8" t="s">
        <v>726</v>
      </c>
      <c r="G150" s="10" t="s">
        <v>727</v>
      </c>
      <c r="H150" s="10" t="s">
        <v>1065</v>
      </c>
      <c r="I150" s="10" t="s">
        <v>729</v>
      </c>
      <c r="J150" s="10" t="s">
        <v>730</v>
      </c>
      <c r="K150" s="13">
        <v>30.0</v>
      </c>
      <c r="L150" s="10" t="s">
        <v>731</v>
      </c>
      <c r="M150" s="7">
        <f t="shared" si="1"/>
        <v>7</v>
      </c>
      <c r="N150" s="13" t="s">
        <v>41</v>
      </c>
    </row>
    <row r="151" ht="15.75" customHeight="1">
      <c r="A151" s="7">
        <v>147.0</v>
      </c>
      <c r="B151" s="7" t="s">
        <v>849</v>
      </c>
      <c r="C151" s="7">
        <v>13.0</v>
      </c>
      <c r="D151" s="10" t="s">
        <v>717</v>
      </c>
      <c r="E151" s="7" t="s">
        <v>1068</v>
      </c>
      <c r="F151" s="8" t="s">
        <v>733</v>
      </c>
      <c r="G151" s="10" t="s">
        <v>736</v>
      </c>
      <c r="H151" s="10" t="s">
        <v>1070</v>
      </c>
      <c r="I151" s="10" t="s">
        <v>691</v>
      </c>
      <c r="J151" s="10" t="s">
        <v>738</v>
      </c>
      <c r="K151" s="13">
        <v>15.0</v>
      </c>
      <c r="L151" s="10" t="s">
        <v>739</v>
      </c>
      <c r="M151" s="7">
        <f t="shared" si="1"/>
        <v>5</v>
      </c>
      <c r="N151" s="13" t="s">
        <v>41</v>
      </c>
    </row>
    <row r="152" ht="15.75" customHeight="1">
      <c r="A152" s="7">
        <v>148.0</v>
      </c>
      <c r="B152" s="7" t="s">
        <v>849</v>
      </c>
      <c r="C152" s="7">
        <v>13.0</v>
      </c>
      <c r="D152" s="10" t="s">
        <v>717</v>
      </c>
      <c r="E152" s="7" t="s">
        <v>1071</v>
      </c>
      <c r="F152" s="8" t="s">
        <v>743</v>
      </c>
      <c r="G152" s="10" t="s">
        <v>744</v>
      </c>
      <c r="H152" s="10" t="s">
        <v>1068</v>
      </c>
      <c r="I152" s="10" t="s">
        <v>745</v>
      </c>
      <c r="J152" s="10" t="s">
        <v>746</v>
      </c>
      <c r="K152" s="13">
        <v>30.0</v>
      </c>
      <c r="L152" s="10" t="s">
        <v>747</v>
      </c>
      <c r="M152" s="7">
        <f t="shared" si="1"/>
        <v>1</v>
      </c>
      <c r="N152" s="13" t="s">
        <v>41</v>
      </c>
    </row>
    <row r="153" ht="15.75" customHeight="1">
      <c r="B153" s="15"/>
      <c r="N153" s="15"/>
    </row>
    <row r="154" ht="15.75" customHeight="1">
      <c r="B154" s="15"/>
      <c r="N154" s="15"/>
    </row>
    <row r="155" ht="15.75" customHeight="1">
      <c r="B155" s="15"/>
      <c r="N155" s="15"/>
    </row>
    <row r="156" ht="15.75" customHeight="1">
      <c r="B156" s="15"/>
      <c r="N156" s="15"/>
    </row>
    <row r="157" ht="15.75" customHeight="1">
      <c r="B157" s="15"/>
      <c r="N157" s="15"/>
    </row>
    <row r="158" ht="15.75" customHeight="1">
      <c r="B158" s="15"/>
      <c r="N158" s="15"/>
    </row>
    <row r="159" ht="15.75" customHeight="1">
      <c r="B159" s="15"/>
      <c r="N159" s="15"/>
    </row>
    <row r="160" ht="15.75" customHeight="1">
      <c r="B160" s="15"/>
      <c r="N160" s="15"/>
    </row>
    <row r="161" ht="15.75" customHeight="1">
      <c r="B161" s="15"/>
      <c r="N161" s="15"/>
    </row>
    <row r="162" ht="15.75" customHeight="1">
      <c r="B162" s="15"/>
      <c r="N162" s="15"/>
    </row>
    <row r="163" ht="15.75" customHeight="1">
      <c r="B163" s="15"/>
      <c r="N163" s="15"/>
    </row>
    <row r="164" ht="15.75" customHeight="1">
      <c r="B164" s="15"/>
      <c r="N164" s="15"/>
    </row>
    <row r="165" ht="15.75" customHeight="1">
      <c r="B165" s="15"/>
      <c r="N165" s="15"/>
    </row>
    <row r="166" ht="15.75" customHeight="1">
      <c r="B166" s="15"/>
      <c r="N166" s="15"/>
    </row>
    <row r="167" ht="15.75" customHeight="1">
      <c r="B167" s="15"/>
      <c r="N167" s="15"/>
    </row>
    <row r="168" ht="15.75" customHeight="1">
      <c r="B168" s="15"/>
      <c r="N168" s="15"/>
    </row>
    <row r="169" ht="15.75" customHeight="1">
      <c r="B169" s="15"/>
      <c r="N169" s="15"/>
    </row>
    <row r="170" ht="15.75" customHeight="1">
      <c r="B170" s="15"/>
      <c r="N170" s="15"/>
    </row>
    <row r="171" ht="15.75" customHeight="1">
      <c r="B171" s="15"/>
      <c r="N171" s="15"/>
    </row>
    <row r="172" ht="15.75" customHeight="1">
      <c r="B172" s="15"/>
      <c r="N172" s="15"/>
    </row>
    <row r="173" ht="15.75" customHeight="1">
      <c r="B173" s="15"/>
      <c r="N173" s="15"/>
    </row>
    <row r="174" ht="15.75" customHeight="1">
      <c r="B174" s="15"/>
      <c r="N174" s="15"/>
    </row>
    <row r="175" ht="15.75" customHeight="1">
      <c r="B175" s="15"/>
      <c r="N175" s="15"/>
    </row>
    <row r="176" ht="15.75" customHeight="1">
      <c r="B176" s="15"/>
      <c r="N176" s="15"/>
    </row>
    <row r="177" ht="15.75" customHeight="1">
      <c r="B177" s="15"/>
      <c r="N177" s="15"/>
    </row>
    <row r="178" ht="15.75" customHeight="1">
      <c r="B178" s="15"/>
      <c r="N178" s="15"/>
    </row>
    <row r="179" ht="15.75" customHeight="1">
      <c r="B179" s="15"/>
      <c r="N179" s="15"/>
    </row>
    <row r="180" ht="15.75" customHeight="1">
      <c r="B180" s="15"/>
      <c r="N180" s="15"/>
    </row>
    <row r="181" ht="15.75" customHeight="1">
      <c r="B181" s="15"/>
      <c r="N181" s="15"/>
    </row>
    <row r="182" ht="15.75" customHeight="1">
      <c r="B182" s="15"/>
      <c r="N182" s="15"/>
    </row>
    <row r="183" ht="15.75" customHeight="1">
      <c r="B183" s="15"/>
      <c r="N183" s="15"/>
    </row>
    <row r="184" ht="15.75" customHeight="1">
      <c r="B184" s="15"/>
      <c r="N184" s="15"/>
    </row>
    <row r="185" ht="15.75" customHeight="1">
      <c r="B185" s="15"/>
      <c r="N185" s="15"/>
    </row>
    <row r="186" ht="15.75" customHeight="1">
      <c r="B186" s="15"/>
      <c r="N186" s="15"/>
    </row>
    <row r="187" ht="15.75" customHeight="1">
      <c r="B187" s="15"/>
      <c r="N187" s="15"/>
    </row>
    <row r="188" ht="15.75" customHeight="1">
      <c r="B188" s="15"/>
      <c r="N188" s="15"/>
    </row>
    <row r="189" ht="15.75" customHeight="1">
      <c r="B189" s="15"/>
      <c r="N189" s="15"/>
    </row>
    <row r="190" ht="15.75" customHeight="1">
      <c r="B190" s="15"/>
      <c r="N190" s="15"/>
    </row>
    <row r="191" ht="15.75" customHeight="1">
      <c r="B191" s="15"/>
      <c r="N191" s="15"/>
    </row>
    <row r="192" ht="15.75" customHeight="1">
      <c r="B192" s="15"/>
      <c r="N192" s="15"/>
    </row>
    <row r="193" ht="15.75" customHeight="1">
      <c r="B193" s="15"/>
      <c r="N193" s="15"/>
    </row>
    <row r="194" ht="15.75" customHeight="1">
      <c r="B194" s="15"/>
      <c r="N194" s="15"/>
    </row>
    <row r="195" ht="15.75" customHeight="1">
      <c r="B195" s="15"/>
      <c r="N195" s="15"/>
    </row>
    <row r="196" ht="15.75" customHeight="1">
      <c r="B196" s="15"/>
      <c r="N196" s="15"/>
    </row>
    <row r="197" ht="15.75" customHeight="1">
      <c r="B197" s="15"/>
      <c r="N197" s="15"/>
    </row>
    <row r="198" ht="15.75" customHeight="1">
      <c r="B198" s="15"/>
      <c r="N198" s="15"/>
    </row>
    <row r="199" ht="15.75" customHeight="1">
      <c r="B199" s="15"/>
      <c r="N199" s="15"/>
    </row>
    <row r="200" ht="15.75" customHeight="1">
      <c r="B200" s="15"/>
      <c r="N200" s="15"/>
    </row>
    <row r="201" ht="15.75" customHeight="1">
      <c r="B201" s="15"/>
      <c r="N201" s="15"/>
    </row>
    <row r="202" ht="15.75" customHeight="1">
      <c r="B202" s="15"/>
      <c r="N202" s="15"/>
    </row>
    <row r="203" ht="15.75" customHeight="1">
      <c r="B203" s="15"/>
      <c r="N203" s="15"/>
    </row>
    <row r="204" ht="15.75" customHeight="1">
      <c r="B204" s="15"/>
      <c r="N204" s="15"/>
    </row>
    <row r="205" ht="15.75" customHeight="1">
      <c r="B205" s="15"/>
      <c r="N205" s="15"/>
    </row>
    <row r="206" ht="15.75" customHeight="1">
      <c r="B206" s="15"/>
      <c r="N206" s="15"/>
    </row>
    <row r="207" ht="15.75" customHeight="1">
      <c r="B207" s="15"/>
      <c r="N207" s="15"/>
    </row>
    <row r="208" ht="15.75" customHeight="1">
      <c r="B208" s="15"/>
      <c r="N208" s="15"/>
    </row>
    <row r="209" ht="15.75" customHeight="1">
      <c r="B209" s="15"/>
      <c r="N209" s="15"/>
    </row>
    <row r="210" ht="15.75" customHeight="1">
      <c r="B210" s="15"/>
      <c r="N210" s="15"/>
    </row>
    <row r="211" ht="15.75" customHeight="1">
      <c r="B211" s="15"/>
      <c r="N211" s="15"/>
    </row>
    <row r="212" ht="15.75" customHeight="1">
      <c r="B212" s="15"/>
      <c r="N212" s="15"/>
    </row>
    <row r="213" ht="15.75" customHeight="1">
      <c r="B213" s="15"/>
      <c r="N213" s="15"/>
    </row>
    <row r="214" ht="15.75" customHeight="1">
      <c r="B214" s="15"/>
      <c r="N214" s="15"/>
    </row>
    <row r="215" ht="15.75" customHeight="1">
      <c r="B215" s="15"/>
      <c r="N215" s="15"/>
    </row>
    <row r="216" ht="15.75" customHeight="1">
      <c r="B216" s="15"/>
      <c r="N216" s="15"/>
    </row>
    <row r="217" ht="15.75" customHeight="1">
      <c r="B217" s="15"/>
      <c r="N217" s="15"/>
    </row>
    <row r="218" ht="15.75" customHeight="1">
      <c r="B218" s="15"/>
      <c r="N218" s="15"/>
    </row>
    <row r="219" ht="15.75" customHeight="1">
      <c r="B219" s="15"/>
      <c r="N219" s="15"/>
    </row>
    <row r="220" ht="15.75" customHeight="1">
      <c r="B220" s="15"/>
      <c r="N220" s="15"/>
    </row>
    <row r="221" ht="15.75" customHeight="1">
      <c r="B221" s="15"/>
      <c r="N221" s="15"/>
    </row>
    <row r="222" ht="15.75" customHeight="1">
      <c r="B222" s="15"/>
      <c r="N222" s="15"/>
    </row>
    <row r="223" ht="15.75" customHeight="1">
      <c r="B223" s="15"/>
      <c r="N223" s="15"/>
    </row>
    <row r="224" ht="15.75" customHeight="1">
      <c r="B224" s="15"/>
      <c r="N224" s="15"/>
    </row>
    <row r="225" ht="15.75" customHeight="1">
      <c r="B225" s="15"/>
      <c r="N225" s="15"/>
    </row>
    <row r="226" ht="15.75" customHeight="1">
      <c r="B226" s="15"/>
      <c r="N226" s="15"/>
    </row>
    <row r="227" ht="15.75" customHeight="1">
      <c r="B227" s="15"/>
      <c r="N227" s="15"/>
    </row>
    <row r="228" ht="15.75" customHeight="1">
      <c r="B228" s="15"/>
      <c r="N228" s="15"/>
    </row>
    <row r="229" ht="15.75" customHeight="1">
      <c r="B229" s="15"/>
      <c r="N229" s="15"/>
    </row>
    <row r="230" ht="15.75" customHeight="1">
      <c r="B230" s="15"/>
      <c r="N230" s="15"/>
    </row>
    <row r="231" ht="15.75" customHeight="1">
      <c r="B231" s="15"/>
      <c r="N231" s="15"/>
    </row>
    <row r="232" ht="15.75" customHeight="1">
      <c r="B232" s="15"/>
      <c r="N232" s="15"/>
    </row>
    <row r="233" ht="15.75" customHeight="1">
      <c r="B233" s="15"/>
      <c r="N233" s="15"/>
    </row>
    <row r="234" ht="15.75" customHeight="1">
      <c r="B234" s="15"/>
      <c r="N234" s="15"/>
    </row>
    <row r="235" ht="15.75" customHeight="1">
      <c r="B235" s="15"/>
      <c r="N235" s="15"/>
    </row>
    <row r="236" ht="15.75" customHeight="1">
      <c r="B236" s="15"/>
      <c r="N236" s="15"/>
    </row>
    <row r="237" ht="15.75" customHeight="1">
      <c r="B237" s="15"/>
      <c r="N237" s="15"/>
    </row>
    <row r="238" ht="15.75" customHeight="1">
      <c r="B238" s="15"/>
      <c r="N238" s="15"/>
    </row>
    <row r="239" ht="15.75" customHeight="1">
      <c r="B239" s="15"/>
      <c r="N239" s="15"/>
    </row>
    <row r="240" ht="15.75" customHeight="1">
      <c r="B240" s="15"/>
      <c r="N240" s="15"/>
    </row>
    <row r="241" ht="15.75" customHeight="1">
      <c r="B241" s="15"/>
      <c r="N241" s="15"/>
    </row>
    <row r="242" ht="15.75" customHeight="1">
      <c r="B242" s="15"/>
      <c r="N242" s="15"/>
    </row>
    <row r="243" ht="15.75" customHeight="1">
      <c r="B243" s="15"/>
      <c r="N243" s="15"/>
    </row>
    <row r="244" ht="15.75" customHeight="1">
      <c r="B244" s="15"/>
      <c r="N244" s="15"/>
    </row>
    <row r="245" ht="15.75" customHeight="1">
      <c r="B245" s="15"/>
      <c r="N245" s="15"/>
    </row>
    <row r="246" ht="15.75" customHeight="1">
      <c r="B246" s="15"/>
      <c r="N246" s="15"/>
    </row>
    <row r="247" ht="15.75" customHeight="1">
      <c r="B247" s="15"/>
      <c r="N247" s="15"/>
    </row>
    <row r="248" ht="15.75" customHeight="1">
      <c r="B248" s="15"/>
      <c r="N248" s="15"/>
    </row>
    <row r="249" ht="15.75" customHeight="1">
      <c r="B249" s="15"/>
      <c r="N249" s="15"/>
    </row>
    <row r="250" ht="15.75" customHeight="1">
      <c r="B250" s="15"/>
      <c r="N250" s="15"/>
    </row>
    <row r="251" ht="15.75" customHeight="1">
      <c r="B251" s="15"/>
      <c r="N251" s="15"/>
    </row>
    <row r="252" ht="15.75" customHeight="1">
      <c r="B252" s="15"/>
      <c r="N252" s="15"/>
    </row>
    <row r="253" ht="15.75" customHeight="1">
      <c r="B253" s="15"/>
      <c r="N253" s="15"/>
    </row>
    <row r="254" ht="15.75" customHeight="1">
      <c r="B254" s="15"/>
      <c r="N254" s="15"/>
    </row>
    <row r="255" ht="15.75" customHeight="1">
      <c r="B255" s="15"/>
      <c r="N255" s="15"/>
    </row>
    <row r="256" ht="15.75" customHeight="1">
      <c r="B256" s="15"/>
      <c r="N256" s="15"/>
    </row>
    <row r="257" ht="15.75" customHeight="1">
      <c r="B257" s="15"/>
      <c r="N257" s="15"/>
    </row>
    <row r="258" ht="15.75" customHeight="1">
      <c r="B258" s="15"/>
      <c r="N258" s="15"/>
    </row>
    <row r="259" ht="15.75" customHeight="1">
      <c r="B259" s="15"/>
      <c r="N259" s="15"/>
    </row>
    <row r="260" ht="15.75" customHeight="1">
      <c r="B260" s="15"/>
      <c r="N260" s="15"/>
    </row>
    <row r="261" ht="15.75" customHeight="1">
      <c r="B261" s="15"/>
      <c r="N261" s="15"/>
    </row>
    <row r="262" ht="15.75" customHeight="1">
      <c r="B262" s="15"/>
      <c r="N262" s="15"/>
    </row>
    <row r="263" ht="15.75" customHeight="1">
      <c r="B263" s="15"/>
      <c r="N263" s="15"/>
    </row>
    <row r="264" ht="15.75" customHeight="1">
      <c r="B264" s="15"/>
      <c r="N264" s="15"/>
    </row>
    <row r="265" ht="15.75" customHeight="1">
      <c r="B265" s="15"/>
      <c r="N265" s="15"/>
    </row>
    <row r="266" ht="15.75" customHeight="1">
      <c r="B266" s="15"/>
      <c r="N266" s="15"/>
    </row>
    <row r="267" ht="15.75" customHeight="1">
      <c r="B267" s="15"/>
      <c r="N267" s="15"/>
    </row>
    <row r="268" ht="15.75" customHeight="1">
      <c r="B268" s="15"/>
      <c r="N268" s="15"/>
    </row>
    <row r="269" ht="15.75" customHeight="1">
      <c r="B269" s="15"/>
      <c r="N269" s="15"/>
    </row>
    <row r="270" ht="15.75" customHeight="1">
      <c r="B270" s="15"/>
      <c r="N270" s="15"/>
    </row>
    <row r="271" ht="15.75" customHeight="1">
      <c r="B271" s="15"/>
      <c r="N271" s="15"/>
    </row>
    <row r="272" ht="15.75" customHeight="1">
      <c r="B272" s="15"/>
      <c r="N272" s="15"/>
    </row>
    <row r="273" ht="15.75" customHeight="1">
      <c r="B273" s="15"/>
      <c r="N273" s="15"/>
    </row>
    <row r="274" ht="15.75" customHeight="1">
      <c r="B274" s="15"/>
      <c r="N274" s="15"/>
    </row>
    <row r="275" ht="15.75" customHeight="1">
      <c r="B275" s="15"/>
      <c r="N275" s="15"/>
    </row>
    <row r="276" ht="15.75" customHeight="1">
      <c r="B276" s="15"/>
      <c r="N276" s="15"/>
    </row>
    <row r="277" ht="15.75" customHeight="1">
      <c r="B277" s="15"/>
      <c r="N277" s="15"/>
    </row>
    <row r="278" ht="15.75" customHeight="1">
      <c r="B278" s="15"/>
      <c r="N278" s="15"/>
    </row>
    <row r="279" ht="15.75" customHeight="1">
      <c r="B279" s="15"/>
      <c r="N279" s="15"/>
    </row>
    <row r="280" ht="15.75" customHeight="1">
      <c r="B280" s="15"/>
      <c r="N280" s="15"/>
    </row>
    <row r="281" ht="15.75" customHeight="1">
      <c r="B281" s="15"/>
      <c r="N281" s="15"/>
    </row>
    <row r="282" ht="15.75" customHeight="1">
      <c r="B282" s="15"/>
      <c r="N282" s="15"/>
    </row>
    <row r="283" ht="15.75" customHeight="1">
      <c r="B283" s="15"/>
      <c r="N283" s="15"/>
    </row>
    <row r="284" ht="15.75" customHeight="1">
      <c r="B284" s="15"/>
      <c r="N284" s="15"/>
    </row>
    <row r="285" ht="15.75" customHeight="1">
      <c r="B285" s="15"/>
      <c r="N285" s="15"/>
    </row>
    <row r="286" ht="15.75" customHeight="1">
      <c r="B286" s="15"/>
      <c r="N286" s="15"/>
    </row>
    <row r="287" ht="15.75" customHeight="1">
      <c r="B287" s="15"/>
      <c r="N287" s="15"/>
    </row>
    <row r="288" ht="15.75" customHeight="1">
      <c r="B288" s="15"/>
      <c r="N288" s="15"/>
    </row>
    <row r="289" ht="15.75" customHeight="1">
      <c r="B289" s="15"/>
      <c r="N289" s="15"/>
    </row>
    <row r="290" ht="15.75" customHeight="1">
      <c r="B290" s="15"/>
      <c r="N290" s="15"/>
    </row>
    <row r="291" ht="15.75" customHeight="1">
      <c r="B291" s="15"/>
      <c r="N291" s="15"/>
    </row>
    <row r="292" ht="15.75" customHeight="1">
      <c r="B292" s="15"/>
      <c r="N292" s="15"/>
    </row>
    <row r="293" ht="15.75" customHeight="1">
      <c r="B293" s="15"/>
      <c r="N293" s="15"/>
    </row>
    <row r="294" ht="15.75" customHeight="1">
      <c r="B294" s="15"/>
      <c r="N294" s="15"/>
    </row>
    <row r="295" ht="15.75" customHeight="1">
      <c r="B295" s="15"/>
      <c r="N295" s="15"/>
    </row>
    <row r="296" ht="15.75" customHeight="1">
      <c r="B296" s="15"/>
      <c r="N296" s="15"/>
    </row>
    <row r="297" ht="15.75" customHeight="1">
      <c r="B297" s="15"/>
      <c r="N297" s="15"/>
    </row>
    <row r="298" ht="15.75" customHeight="1">
      <c r="B298" s="15"/>
      <c r="N298" s="15"/>
    </row>
    <row r="299" ht="15.75" customHeight="1">
      <c r="B299" s="15"/>
      <c r="N299" s="15"/>
    </row>
    <row r="300" ht="15.75" customHeight="1">
      <c r="B300" s="15"/>
      <c r="N300" s="15"/>
    </row>
    <row r="301" ht="15.75" customHeight="1">
      <c r="B301" s="15"/>
      <c r="N301" s="15"/>
    </row>
    <row r="302" ht="15.75" customHeight="1">
      <c r="B302" s="15"/>
      <c r="N302" s="15"/>
    </row>
    <row r="303" ht="15.75" customHeight="1">
      <c r="B303" s="15"/>
      <c r="N303" s="15"/>
    </row>
    <row r="304" ht="15.75" customHeight="1">
      <c r="B304" s="15"/>
      <c r="N304" s="15"/>
    </row>
    <row r="305" ht="15.75" customHeight="1">
      <c r="B305" s="15"/>
      <c r="N305" s="15"/>
    </row>
    <row r="306" ht="15.75" customHeight="1">
      <c r="B306" s="15"/>
      <c r="N306" s="15"/>
    </row>
    <row r="307" ht="15.75" customHeight="1">
      <c r="B307" s="15"/>
      <c r="N307" s="15"/>
    </row>
    <row r="308" ht="15.75" customHeight="1">
      <c r="B308" s="15"/>
      <c r="N308" s="15"/>
    </row>
    <row r="309" ht="15.75" customHeight="1">
      <c r="B309" s="15"/>
      <c r="N309" s="15"/>
    </row>
    <row r="310" ht="15.75" customHeight="1">
      <c r="B310" s="15"/>
      <c r="N310" s="15"/>
    </row>
    <row r="311" ht="15.75" customHeight="1">
      <c r="B311" s="15"/>
      <c r="N311" s="15"/>
    </row>
    <row r="312" ht="15.75" customHeight="1">
      <c r="B312" s="15"/>
      <c r="N312" s="15"/>
    </row>
    <row r="313" ht="15.75" customHeight="1">
      <c r="B313" s="15"/>
      <c r="N313" s="15"/>
    </row>
    <row r="314" ht="15.75" customHeight="1">
      <c r="B314" s="15"/>
      <c r="N314" s="15"/>
    </row>
    <row r="315" ht="15.75" customHeight="1">
      <c r="B315" s="15"/>
      <c r="N315" s="15"/>
    </row>
    <row r="316" ht="15.75" customHeight="1">
      <c r="B316" s="15"/>
      <c r="N316" s="15"/>
    </row>
    <row r="317" ht="15.75" customHeight="1">
      <c r="B317" s="15"/>
      <c r="N317" s="15"/>
    </row>
    <row r="318" ht="15.75" customHeight="1">
      <c r="B318" s="15"/>
      <c r="N318" s="15"/>
    </row>
    <row r="319" ht="15.75" customHeight="1">
      <c r="B319" s="15"/>
      <c r="N319" s="15"/>
    </row>
    <row r="320" ht="15.75" customHeight="1">
      <c r="B320" s="15"/>
      <c r="N320" s="15"/>
    </row>
    <row r="321" ht="15.75" customHeight="1">
      <c r="B321" s="15"/>
      <c r="N321" s="15"/>
    </row>
    <row r="322" ht="15.75" customHeight="1">
      <c r="B322" s="15"/>
      <c r="N322" s="15"/>
    </row>
    <row r="323" ht="15.75" customHeight="1">
      <c r="B323" s="15"/>
      <c r="N323" s="15"/>
    </row>
    <row r="324" ht="15.75" customHeight="1">
      <c r="B324" s="15"/>
      <c r="N324" s="15"/>
    </row>
    <row r="325" ht="15.75" customHeight="1">
      <c r="B325" s="15"/>
      <c r="N325" s="15"/>
    </row>
    <row r="326" ht="15.75" customHeight="1">
      <c r="B326" s="15"/>
      <c r="N326" s="15"/>
    </row>
    <row r="327" ht="15.75" customHeight="1">
      <c r="B327" s="15"/>
      <c r="N327" s="15"/>
    </row>
    <row r="328" ht="15.75" customHeight="1">
      <c r="B328" s="15"/>
      <c r="N328" s="15"/>
    </row>
    <row r="329" ht="15.75" customHeight="1">
      <c r="B329" s="15"/>
      <c r="N329" s="15"/>
    </row>
    <row r="330" ht="15.75" customHeight="1">
      <c r="B330" s="15"/>
      <c r="N330" s="15"/>
    </row>
    <row r="331" ht="15.75" customHeight="1">
      <c r="B331" s="15"/>
      <c r="N331" s="15"/>
    </row>
    <row r="332" ht="15.75" customHeight="1">
      <c r="B332" s="15"/>
      <c r="N332" s="15"/>
    </row>
    <row r="333" ht="15.75" customHeight="1">
      <c r="B333" s="15"/>
      <c r="N333" s="15"/>
    </row>
    <row r="334" ht="15.75" customHeight="1">
      <c r="B334" s="15"/>
      <c r="N334" s="15"/>
    </row>
    <row r="335" ht="15.75" customHeight="1">
      <c r="B335" s="15"/>
      <c r="N335" s="15"/>
    </row>
    <row r="336" ht="15.75" customHeight="1">
      <c r="B336" s="15"/>
      <c r="N336" s="15"/>
    </row>
    <row r="337" ht="15.75" customHeight="1">
      <c r="B337" s="15"/>
      <c r="N337" s="15"/>
    </row>
    <row r="338" ht="15.75" customHeight="1">
      <c r="B338" s="15"/>
      <c r="N338" s="15"/>
    </row>
    <row r="339" ht="15.75" customHeight="1">
      <c r="B339" s="15"/>
      <c r="N339" s="15"/>
    </row>
    <row r="340" ht="15.75" customHeight="1">
      <c r="B340" s="15"/>
      <c r="N340" s="15"/>
    </row>
    <row r="341" ht="15.75" customHeight="1">
      <c r="B341" s="15"/>
      <c r="N341" s="15"/>
    </row>
    <row r="342" ht="15.75" customHeight="1">
      <c r="B342" s="15"/>
      <c r="N342" s="15"/>
    </row>
    <row r="343" ht="15.75" customHeight="1">
      <c r="B343" s="15"/>
      <c r="N343" s="15"/>
    </row>
    <row r="344" ht="15.75" customHeight="1">
      <c r="B344" s="15"/>
      <c r="N344" s="15"/>
    </row>
    <row r="345" ht="15.75" customHeight="1">
      <c r="B345" s="15"/>
      <c r="N345" s="15"/>
    </row>
    <row r="346" ht="15.75" customHeight="1">
      <c r="B346" s="15"/>
      <c r="N346" s="15"/>
    </row>
    <row r="347" ht="15.75" customHeight="1">
      <c r="B347" s="15"/>
      <c r="N347" s="15"/>
    </row>
    <row r="348" ht="15.75" customHeight="1">
      <c r="B348" s="15"/>
      <c r="N348" s="15"/>
    </row>
    <row r="349" ht="15.75" customHeight="1">
      <c r="B349" s="15"/>
      <c r="N349" s="15"/>
    </row>
    <row r="350" ht="15.75" customHeight="1">
      <c r="B350" s="15"/>
      <c r="N350" s="15"/>
    </row>
    <row r="351" ht="15.75" customHeight="1">
      <c r="B351" s="15"/>
      <c r="N351" s="15"/>
    </row>
    <row r="352" ht="15.75" customHeight="1">
      <c r="B352" s="15"/>
      <c r="N352" s="15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52"/>
  <dataValidations>
    <dataValidation type="list" allowBlank="1" sqref="B5:B352">
      <formula1>Lists!$C$2:$C$4</formula1>
    </dataValidation>
    <dataValidation type="list" allowBlank="1" sqref="N5:N352">
      <formula1>Lists!$E$2:$E$3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6.0"/>
    <col customWidth="1" min="2" max="2" width="9.0"/>
    <col customWidth="1" min="3" max="3" width="18.0"/>
    <col customWidth="1" min="4" max="4" width="32.0"/>
    <col customWidth="1" min="5" max="5" width="36.0"/>
    <col customWidth="1" min="6" max="6" width="10.0"/>
    <col customWidth="1" min="7" max="7" width="8.0"/>
    <col customWidth="1" min="8" max="10" width="10.0"/>
    <col customWidth="1" min="11" max="13" width="14.0"/>
    <col customWidth="1" min="14" max="14" width="8.0"/>
    <col customWidth="1" min="15" max="26" width="8.71"/>
  </cols>
  <sheetData>
    <row r="1">
      <c r="A1" s="1" t="s">
        <v>154</v>
      </c>
    </row>
    <row r="2">
      <c r="A2" s="3" t="s">
        <v>155</v>
      </c>
    </row>
    <row r="4">
      <c r="A4" s="5" t="s">
        <v>6</v>
      </c>
      <c r="B4" s="5" t="s">
        <v>156</v>
      </c>
      <c r="C4" s="5" t="s">
        <v>157</v>
      </c>
      <c r="D4" s="5" t="s">
        <v>158</v>
      </c>
      <c r="E4" s="5" t="s">
        <v>159</v>
      </c>
      <c r="F4" s="5" t="s">
        <v>13</v>
      </c>
      <c r="G4" s="5" t="s">
        <v>160</v>
      </c>
      <c r="H4" s="5" t="s">
        <v>161</v>
      </c>
      <c r="I4" s="5" t="s">
        <v>162</v>
      </c>
      <c r="J4" s="5" t="s">
        <v>163</v>
      </c>
      <c r="K4" s="5" t="s">
        <v>164</v>
      </c>
      <c r="L4" s="5" t="s">
        <v>165</v>
      </c>
      <c r="M4" s="5" t="s">
        <v>166</v>
      </c>
      <c r="N4" s="5" t="s">
        <v>40</v>
      </c>
    </row>
    <row r="5">
      <c r="A5" s="7">
        <v>1.0</v>
      </c>
      <c r="B5" s="7" t="s">
        <v>168</v>
      </c>
      <c r="C5" s="8" t="s">
        <v>170</v>
      </c>
      <c r="D5" s="10" t="s">
        <v>172</v>
      </c>
      <c r="E5" s="10" t="s">
        <v>174</v>
      </c>
      <c r="F5" s="7" t="s">
        <v>175</v>
      </c>
      <c r="G5" s="13" t="s">
        <v>179</v>
      </c>
      <c r="H5" s="13" t="s">
        <v>180</v>
      </c>
      <c r="I5" s="13" t="s">
        <v>180</v>
      </c>
      <c r="J5" s="7" t="s">
        <v>41</v>
      </c>
      <c r="K5" s="21">
        <v>450.0</v>
      </c>
      <c r="L5" s="21">
        <v>495.0</v>
      </c>
      <c r="M5" s="21">
        <v>562.0</v>
      </c>
      <c r="N5" s="13" t="s">
        <v>41</v>
      </c>
    </row>
    <row r="6">
      <c r="A6" s="7">
        <v>2.0</v>
      </c>
      <c r="B6" s="7" t="s">
        <v>181</v>
      </c>
      <c r="C6" s="8" t="s">
        <v>170</v>
      </c>
      <c r="D6" s="10" t="s">
        <v>182</v>
      </c>
      <c r="E6" s="10" t="s">
        <v>183</v>
      </c>
      <c r="F6" s="7" t="s">
        <v>175</v>
      </c>
      <c r="G6" s="13" t="s">
        <v>180</v>
      </c>
      <c r="H6" s="13" t="s">
        <v>179</v>
      </c>
      <c r="I6" s="13" t="s">
        <v>180</v>
      </c>
      <c r="J6" s="7" t="s">
        <v>41</v>
      </c>
      <c r="K6" s="21">
        <v>900.0</v>
      </c>
      <c r="L6" s="21">
        <v>990.0</v>
      </c>
      <c r="M6" s="21">
        <v>1125.0</v>
      </c>
      <c r="N6" s="13" t="s">
        <v>41</v>
      </c>
    </row>
    <row r="7">
      <c r="A7" s="7">
        <v>3.0</v>
      </c>
      <c r="B7" s="7" t="s">
        <v>184</v>
      </c>
      <c r="C7" s="8" t="s">
        <v>170</v>
      </c>
      <c r="D7" s="10" t="s">
        <v>185</v>
      </c>
      <c r="E7" s="10" t="s">
        <v>186</v>
      </c>
      <c r="F7" s="7" t="s">
        <v>175</v>
      </c>
      <c r="G7" s="13" t="s">
        <v>180</v>
      </c>
      <c r="H7" s="13" t="s">
        <v>180</v>
      </c>
      <c r="I7" s="13" t="s">
        <v>179</v>
      </c>
      <c r="J7" s="7" t="s">
        <v>41</v>
      </c>
      <c r="K7" s="21">
        <v>1600.0</v>
      </c>
      <c r="L7" s="21">
        <v>1760.0</v>
      </c>
      <c r="M7" s="21">
        <v>2000.0</v>
      </c>
      <c r="N7" s="13" t="s">
        <v>41</v>
      </c>
    </row>
    <row r="8">
      <c r="A8" s="7">
        <v>4.0</v>
      </c>
      <c r="B8" s="7" t="s">
        <v>187</v>
      </c>
      <c r="C8" s="8" t="s">
        <v>170</v>
      </c>
      <c r="D8" s="10" t="s">
        <v>188</v>
      </c>
      <c r="E8" s="10" t="s">
        <v>189</v>
      </c>
      <c r="F8" s="7" t="s">
        <v>190</v>
      </c>
      <c r="G8" s="13" t="s">
        <v>180</v>
      </c>
      <c r="H8" s="13" t="s">
        <v>179</v>
      </c>
      <c r="I8" s="13" t="s">
        <v>179</v>
      </c>
      <c r="J8" s="7" t="s">
        <v>49</v>
      </c>
      <c r="K8" s="21">
        <v>450.0</v>
      </c>
      <c r="L8" s="21">
        <v>495.0</v>
      </c>
      <c r="M8" s="21">
        <v>562.0</v>
      </c>
      <c r="N8" s="13" t="s">
        <v>41</v>
      </c>
    </row>
    <row r="9">
      <c r="A9" s="7">
        <v>5.0</v>
      </c>
      <c r="B9" s="7" t="s">
        <v>191</v>
      </c>
      <c r="C9" s="8" t="s">
        <v>170</v>
      </c>
      <c r="D9" s="10" t="s">
        <v>192</v>
      </c>
      <c r="E9" s="10" t="s">
        <v>193</v>
      </c>
      <c r="F9" s="7" t="s">
        <v>190</v>
      </c>
      <c r="G9" s="13" t="s">
        <v>180</v>
      </c>
      <c r="H9" s="13" t="s">
        <v>180</v>
      </c>
      <c r="I9" s="13" t="s">
        <v>179</v>
      </c>
      <c r="J9" s="7" t="s">
        <v>49</v>
      </c>
      <c r="K9" s="21">
        <v>1400.0</v>
      </c>
      <c r="L9" s="21">
        <v>1540.0</v>
      </c>
      <c r="M9" s="21">
        <v>1750.0</v>
      </c>
      <c r="N9" s="13" t="s">
        <v>41</v>
      </c>
    </row>
    <row r="10">
      <c r="A10" s="7">
        <v>6.0</v>
      </c>
      <c r="B10" s="7" t="s">
        <v>194</v>
      </c>
      <c r="C10" s="8" t="s">
        <v>195</v>
      </c>
      <c r="D10" s="10" t="s">
        <v>196</v>
      </c>
      <c r="E10" s="10" t="s">
        <v>197</v>
      </c>
      <c r="F10" s="7" t="s">
        <v>190</v>
      </c>
      <c r="G10" s="13" t="s">
        <v>179</v>
      </c>
      <c r="H10" s="13" t="s">
        <v>180</v>
      </c>
      <c r="I10" s="13" t="s">
        <v>180</v>
      </c>
      <c r="J10" s="7" t="s">
        <v>41</v>
      </c>
      <c r="K10" s="21">
        <v>1200.0</v>
      </c>
      <c r="L10" s="21">
        <v>1320.0</v>
      </c>
      <c r="M10" s="21">
        <v>1500.0</v>
      </c>
      <c r="N10" s="13" t="s">
        <v>41</v>
      </c>
    </row>
    <row r="11">
      <c r="A11" s="7">
        <v>7.0</v>
      </c>
      <c r="B11" s="7" t="s">
        <v>198</v>
      </c>
      <c r="C11" s="8" t="s">
        <v>195</v>
      </c>
      <c r="D11" s="10" t="s">
        <v>199</v>
      </c>
      <c r="E11" s="10" t="s">
        <v>200</v>
      </c>
      <c r="F11" s="7" t="s">
        <v>190</v>
      </c>
      <c r="G11" s="13" t="s">
        <v>180</v>
      </c>
      <c r="H11" s="13" t="s">
        <v>179</v>
      </c>
      <c r="I11" s="13" t="s">
        <v>179</v>
      </c>
      <c r="J11" s="7" t="s">
        <v>41</v>
      </c>
      <c r="K11" s="21">
        <v>3500.0</v>
      </c>
      <c r="L11" s="21">
        <v>3850.0</v>
      </c>
      <c r="M11" s="21">
        <v>4375.0</v>
      </c>
      <c r="N11" s="13" t="s">
        <v>41</v>
      </c>
    </row>
    <row r="12">
      <c r="A12" s="7">
        <v>8.0</v>
      </c>
      <c r="B12" s="7" t="s">
        <v>201</v>
      </c>
      <c r="C12" s="8" t="s">
        <v>195</v>
      </c>
      <c r="D12" s="10" t="s">
        <v>202</v>
      </c>
      <c r="E12" s="10" t="s">
        <v>203</v>
      </c>
      <c r="F12" s="7" t="s">
        <v>204</v>
      </c>
      <c r="G12" s="13" t="s">
        <v>179</v>
      </c>
      <c r="H12" s="13" t="s">
        <v>179</v>
      </c>
      <c r="I12" s="13" t="s">
        <v>179</v>
      </c>
      <c r="J12" s="7" t="s">
        <v>41</v>
      </c>
      <c r="K12" s="21">
        <v>60000.0</v>
      </c>
      <c r="L12" s="21">
        <v>66000.0</v>
      </c>
      <c r="M12" s="21">
        <v>75000.0</v>
      </c>
      <c r="N12" s="13" t="s">
        <v>41</v>
      </c>
    </row>
    <row r="13">
      <c r="A13" s="7">
        <v>9.0</v>
      </c>
      <c r="B13" s="7" t="s">
        <v>205</v>
      </c>
      <c r="C13" s="8" t="s">
        <v>195</v>
      </c>
      <c r="D13" s="10" t="s">
        <v>206</v>
      </c>
      <c r="E13" s="10" t="s">
        <v>207</v>
      </c>
      <c r="F13" s="7" t="s">
        <v>190</v>
      </c>
      <c r="G13" s="13" t="s">
        <v>180</v>
      </c>
      <c r="H13" s="13" t="s">
        <v>180</v>
      </c>
      <c r="I13" s="13" t="s">
        <v>179</v>
      </c>
      <c r="J13" s="7" t="s">
        <v>49</v>
      </c>
      <c r="K13" s="21">
        <v>4500.0</v>
      </c>
      <c r="L13" s="21">
        <v>4950.0</v>
      </c>
      <c r="M13" s="21">
        <v>5625.0</v>
      </c>
      <c r="N13" s="13" t="s">
        <v>41</v>
      </c>
    </row>
    <row r="14">
      <c r="A14" s="7">
        <v>10.0</v>
      </c>
      <c r="B14" s="7" t="s">
        <v>208</v>
      </c>
      <c r="C14" s="8" t="s">
        <v>195</v>
      </c>
      <c r="D14" s="10" t="s">
        <v>209</v>
      </c>
      <c r="E14" s="10" t="s">
        <v>210</v>
      </c>
      <c r="F14" s="7" t="s">
        <v>211</v>
      </c>
      <c r="G14" s="13" t="s">
        <v>180</v>
      </c>
      <c r="H14" s="13" t="s">
        <v>180</v>
      </c>
      <c r="I14" s="13" t="s">
        <v>179</v>
      </c>
      <c r="J14" s="7" t="s">
        <v>49</v>
      </c>
      <c r="K14" s="21">
        <v>80000.0</v>
      </c>
      <c r="L14" s="21">
        <v>88000.0</v>
      </c>
      <c r="M14" s="21">
        <v>100000.0</v>
      </c>
      <c r="N14" s="13" t="s">
        <v>41</v>
      </c>
    </row>
    <row r="15">
      <c r="A15" s="7">
        <v>11.0</v>
      </c>
      <c r="B15" s="7" t="s">
        <v>212</v>
      </c>
      <c r="C15" s="8" t="s">
        <v>213</v>
      </c>
      <c r="D15" s="10" t="s">
        <v>214</v>
      </c>
      <c r="E15" s="10" t="s">
        <v>215</v>
      </c>
      <c r="F15" s="7" t="s">
        <v>204</v>
      </c>
      <c r="G15" s="13" t="s">
        <v>179</v>
      </c>
      <c r="H15" s="13" t="s">
        <v>179</v>
      </c>
      <c r="I15" s="13" t="s">
        <v>179</v>
      </c>
      <c r="J15" s="7" t="s">
        <v>49</v>
      </c>
      <c r="K15" s="21">
        <v>250000.0</v>
      </c>
      <c r="L15" s="21">
        <v>275000.0</v>
      </c>
      <c r="M15" s="21">
        <v>312500.0</v>
      </c>
      <c r="N15" s="13" t="s">
        <v>41</v>
      </c>
    </row>
    <row r="16">
      <c r="A16" s="7">
        <v>12.0</v>
      </c>
      <c r="B16" s="7" t="s">
        <v>216</v>
      </c>
      <c r="C16" s="8" t="s">
        <v>213</v>
      </c>
      <c r="D16" s="10" t="s">
        <v>217</v>
      </c>
      <c r="E16" s="10" t="s">
        <v>218</v>
      </c>
      <c r="F16" s="7" t="s">
        <v>219</v>
      </c>
      <c r="G16" s="13" t="s">
        <v>180</v>
      </c>
      <c r="H16" s="13" t="s">
        <v>179</v>
      </c>
      <c r="I16" s="13" t="s">
        <v>179</v>
      </c>
      <c r="J16" s="7" t="s">
        <v>49</v>
      </c>
      <c r="K16" s="21">
        <v>20.0</v>
      </c>
      <c r="L16" s="21">
        <v>22.0</v>
      </c>
      <c r="M16" s="21">
        <v>25.0</v>
      </c>
      <c r="N16" s="13" t="s">
        <v>41</v>
      </c>
    </row>
    <row r="17">
      <c r="A17" s="7">
        <v>13.0</v>
      </c>
      <c r="B17" s="7" t="s">
        <v>220</v>
      </c>
      <c r="C17" s="8" t="s">
        <v>213</v>
      </c>
      <c r="D17" s="10" t="s">
        <v>221</v>
      </c>
      <c r="E17" s="10" t="s">
        <v>222</v>
      </c>
      <c r="F17" s="7" t="s">
        <v>190</v>
      </c>
      <c r="G17" s="13" t="s">
        <v>179</v>
      </c>
      <c r="H17" s="13" t="s">
        <v>179</v>
      </c>
      <c r="I17" s="13" t="s">
        <v>179</v>
      </c>
      <c r="J17" s="7" t="s">
        <v>49</v>
      </c>
      <c r="K17" s="21">
        <v>650.0</v>
      </c>
      <c r="L17" s="21">
        <v>715.0</v>
      </c>
      <c r="M17" s="21">
        <v>812.0</v>
      </c>
      <c r="N17" s="13" t="s">
        <v>41</v>
      </c>
    </row>
    <row r="18">
      <c r="A18" s="7">
        <v>14.0</v>
      </c>
      <c r="B18" s="7" t="s">
        <v>223</v>
      </c>
      <c r="C18" s="8" t="s">
        <v>213</v>
      </c>
      <c r="D18" s="10" t="s">
        <v>224</v>
      </c>
      <c r="E18" s="10" t="s">
        <v>225</v>
      </c>
      <c r="F18" s="7" t="s">
        <v>226</v>
      </c>
      <c r="G18" s="13" t="s">
        <v>180</v>
      </c>
      <c r="H18" s="13" t="s">
        <v>179</v>
      </c>
      <c r="I18" s="13" t="s">
        <v>179</v>
      </c>
      <c r="J18" s="7" t="s">
        <v>49</v>
      </c>
      <c r="K18" s="21">
        <v>3500.0</v>
      </c>
      <c r="L18" s="21">
        <v>3850.0</v>
      </c>
      <c r="M18" s="21">
        <v>4375.0</v>
      </c>
      <c r="N18" s="13" t="s">
        <v>41</v>
      </c>
    </row>
    <row r="19">
      <c r="A19" s="7">
        <v>15.0</v>
      </c>
      <c r="B19" s="7" t="s">
        <v>227</v>
      </c>
      <c r="C19" s="8" t="s">
        <v>213</v>
      </c>
      <c r="D19" s="10" t="s">
        <v>228</v>
      </c>
      <c r="E19" s="10" t="s">
        <v>229</v>
      </c>
      <c r="F19" s="7" t="s">
        <v>204</v>
      </c>
      <c r="G19" s="13" t="s">
        <v>179</v>
      </c>
      <c r="H19" s="13" t="s">
        <v>179</v>
      </c>
      <c r="I19" s="13" t="s">
        <v>179</v>
      </c>
      <c r="J19" s="7" t="s">
        <v>41</v>
      </c>
      <c r="K19" s="21">
        <v>35000.0</v>
      </c>
      <c r="L19" s="21">
        <v>38500.0</v>
      </c>
      <c r="M19" s="21">
        <v>43750.0</v>
      </c>
      <c r="N19" s="13" t="s">
        <v>41</v>
      </c>
    </row>
    <row r="20">
      <c r="A20" s="7">
        <v>16.0</v>
      </c>
      <c r="B20" s="7" t="s">
        <v>230</v>
      </c>
      <c r="C20" s="8" t="s">
        <v>231</v>
      </c>
      <c r="D20" s="10" t="s">
        <v>232</v>
      </c>
      <c r="E20" s="10" t="s">
        <v>233</v>
      </c>
      <c r="F20" s="7" t="s">
        <v>190</v>
      </c>
      <c r="G20" s="13" t="s">
        <v>179</v>
      </c>
      <c r="H20" s="13" t="s">
        <v>179</v>
      </c>
      <c r="I20" s="13" t="s">
        <v>180</v>
      </c>
      <c r="J20" s="7" t="s">
        <v>41</v>
      </c>
      <c r="K20" s="21">
        <v>1200.0</v>
      </c>
      <c r="L20" s="21">
        <v>1320.0</v>
      </c>
      <c r="M20" s="21">
        <v>1500.0</v>
      </c>
      <c r="N20" s="13" t="s">
        <v>41</v>
      </c>
    </row>
    <row r="21" ht="15.75" customHeight="1">
      <c r="A21" s="7">
        <v>17.0</v>
      </c>
      <c r="B21" s="7" t="s">
        <v>234</v>
      </c>
      <c r="C21" s="8" t="s">
        <v>231</v>
      </c>
      <c r="D21" s="10" t="s">
        <v>235</v>
      </c>
      <c r="E21" s="10" t="s">
        <v>236</v>
      </c>
      <c r="F21" s="7" t="s">
        <v>190</v>
      </c>
      <c r="G21" s="13" t="s">
        <v>180</v>
      </c>
      <c r="H21" s="13" t="s">
        <v>180</v>
      </c>
      <c r="I21" s="13" t="s">
        <v>179</v>
      </c>
      <c r="J21" s="7" t="s">
        <v>49</v>
      </c>
      <c r="K21" s="21">
        <v>2500.0</v>
      </c>
      <c r="L21" s="21">
        <v>2750.0</v>
      </c>
      <c r="M21" s="21">
        <v>3125.0</v>
      </c>
      <c r="N21" s="13" t="s">
        <v>41</v>
      </c>
    </row>
    <row r="22" ht="15.75" customHeight="1">
      <c r="A22" s="7">
        <v>18.0</v>
      </c>
      <c r="B22" s="7" t="s">
        <v>237</v>
      </c>
      <c r="C22" s="8" t="s">
        <v>231</v>
      </c>
      <c r="D22" s="10" t="s">
        <v>238</v>
      </c>
      <c r="E22" s="10" t="s">
        <v>239</v>
      </c>
      <c r="F22" s="7" t="s">
        <v>204</v>
      </c>
      <c r="G22" s="13" t="s">
        <v>179</v>
      </c>
      <c r="H22" s="13" t="s">
        <v>179</v>
      </c>
      <c r="I22" s="13" t="s">
        <v>179</v>
      </c>
      <c r="J22" s="7" t="s">
        <v>49</v>
      </c>
      <c r="K22" s="21">
        <v>900000.0</v>
      </c>
      <c r="L22" s="21">
        <v>990000.0</v>
      </c>
      <c r="M22" s="21">
        <v>1125000.0</v>
      </c>
      <c r="N22" s="13" t="s">
        <v>41</v>
      </c>
    </row>
    <row r="23" ht="15.75" customHeight="1">
      <c r="A23" s="7">
        <v>19.0</v>
      </c>
      <c r="B23" s="7" t="s">
        <v>240</v>
      </c>
      <c r="C23" s="8" t="s">
        <v>231</v>
      </c>
      <c r="D23" s="10" t="s">
        <v>241</v>
      </c>
      <c r="E23" s="10" t="s">
        <v>242</v>
      </c>
      <c r="F23" s="7" t="s">
        <v>204</v>
      </c>
      <c r="G23" s="13" t="s">
        <v>179</v>
      </c>
      <c r="H23" s="13" t="s">
        <v>179</v>
      </c>
      <c r="I23" s="13" t="s">
        <v>180</v>
      </c>
      <c r="J23" s="7" t="s">
        <v>41</v>
      </c>
      <c r="K23" s="21">
        <v>22000.0</v>
      </c>
      <c r="L23" s="21">
        <v>24200.0</v>
      </c>
      <c r="M23" s="21">
        <v>27500.0</v>
      </c>
      <c r="N23" s="13" t="s">
        <v>41</v>
      </c>
    </row>
    <row r="24" ht="15.75" customHeight="1">
      <c r="A24" s="7">
        <v>20.0</v>
      </c>
      <c r="B24" s="7" t="s">
        <v>243</v>
      </c>
      <c r="C24" s="8" t="s">
        <v>231</v>
      </c>
      <c r="D24" s="10" t="s">
        <v>244</v>
      </c>
      <c r="E24" s="10" t="s">
        <v>245</v>
      </c>
      <c r="F24" s="7" t="s">
        <v>204</v>
      </c>
      <c r="G24" s="13" t="s">
        <v>180</v>
      </c>
      <c r="H24" s="13" t="s">
        <v>180</v>
      </c>
      <c r="I24" s="13" t="s">
        <v>179</v>
      </c>
      <c r="J24" s="7" t="s">
        <v>41</v>
      </c>
      <c r="K24" s="21">
        <v>45000.0</v>
      </c>
      <c r="L24" s="21">
        <v>49500.0</v>
      </c>
      <c r="M24" s="21">
        <v>56250.0</v>
      </c>
      <c r="N24" s="13" t="s">
        <v>41</v>
      </c>
    </row>
    <row r="25" ht="15.75" customHeight="1">
      <c r="A25" s="7">
        <v>21.0</v>
      </c>
      <c r="B25" s="7" t="s">
        <v>246</v>
      </c>
      <c r="C25" s="8" t="s">
        <v>247</v>
      </c>
      <c r="D25" s="10" t="s">
        <v>248</v>
      </c>
      <c r="E25" s="10" t="s">
        <v>249</v>
      </c>
      <c r="F25" s="7" t="s">
        <v>204</v>
      </c>
      <c r="G25" s="13" t="s">
        <v>179</v>
      </c>
      <c r="H25" s="13" t="s">
        <v>179</v>
      </c>
      <c r="I25" s="13" t="s">
        <v>179</v>
      </c>
      <c r="J25" s="7" t="s">
        <v>41</v>
      </c>
      <c r="K25" s="21">
        <v>600.0</v>
      </c>
      <c r="L25" s="21">
        <v>660.0</v>
      </c>
      <c r="M25" s="21">
        <v>750.0</v>
      </c>
      <c r="N25" s="13" t="s">
        <v>41</v>
      </c>
    </row>
    <row r="26" ht="15.75" customHeight="1">
      <c r="A26" s="7">
        <v>22.0</v>
      </c>
      <c r="B26" s="7" t="s">
        <v>256</v>
      </c>
      <c r="C26" s="8" t="s">
        <v>247</v>
      </c>
      <c r="D26" s="10" t="s">
        <v>257</v>
      </c>
      <c r="E26" s="10" t="s">
        <v>258</v>
      </c>
      <c r="F26" s="7" t="s">
        <v>190</v>
      </c>
      <c r="G26" s="13" t="s">
        <v>179</v>
      </c>
      <c r="H26" s="13" t="s">
        <v>180</v>
      </c>
      <c r="I26" s="13" t="s">
        <v>180</v>
      </c>
      <c r="J26" s="7" t="s">
        <v>49</v>
      </c>
      <c r="K26" s="21">
        <v>1200.0</v>
      </c>
      <c r="L26" s="21">
        <v>1320.0</v>
      </c>
      <c r="M26" s="21">
        <v>1500.0</v>
      </c>
      <c r="N26" s="13" t="s">
        <v>41</v>
      </c>
    </row>
    <row r="27" ht="15.75" customHeight="1">
      <c r="A27" s="7">
        <v>23.0</v>
      </c>
      <c r="B27" s="7" t="s">
        <v>262</v>
      </c>
      <c r="C27" s="8" t="s">
        <v>247</v>
      </c>
      <c r="D27" s="10" t="s">
        <v>265</v>
      </c>
      <c r="E27" s="10" t="s">
        <v>267</v>
      </c>
      <c r="F27" s="7" t="s">
        <v>190</v>
      </c>
      <c r="G27" s="13" t="s">
        <v>180</v>
      </c>
      <c r="H27" s="13" t="s">
        <v>179</v>
      </c>
      <c r="I27" s="13" t="s">
        <v>179</v>
      </c>
      <c r="J27" s="7" t="s">
        <v>49</v>
      </c>
      <c r="K27" s="21">
        <v>5500.0</v>
      </c>
      <c r="L27" s="21">
        <v>6050.0</v>
      </c>
      <c r="M27" s="21">
        <v>6875.0</v>
      </c>
      <c r="N27" s="13" t="s">
        <v>41</v>
      </c>
    </row>
    <row r="28" ht="15.75" customHeight="1">
      <c r="A28" s="7">
        <v>24.0</v>
      </c>
      <c r="B28" s="7" t="s">
        <v>274</v>
      </c>
      <c r="C28" s="8" t="s">
        <v>247</v>
      </c>
      <c r="D28" s="10" t="s">
        <v>275</v>
      </c>
      <c r="E28" s="10" t="s">
        <v>276</v>
      </c>
      <c r="F28" s="7" t="s">
        <v>204</v>
      </c>
      <c r="G28" s="13" t="s">
        <v>179</v>
      </c>
      <c r="H28" s="13" t="s">
        <v>180</v>
      </c>
      <c r="I28" s="13" t="s">
        <v>180</v>
      </c>
      <c r="J28" s="7" t="s">
        <v>49</v>
      </c>
      <c r="K28" s="21">
        <v>40000.0</v>
      </c>
      <c r="L28" s="21">
        <v>44000.0</v>
      </c>
      <c r="M28" s="21">
        <v>50000.0</v>
      </c>
      <c r="N28" s="13" t="s">
        <v>41</v>
      </c>
    </row>
    <row r="29" ht="15.75" customHeight="1">
      <c r="A29" s="7">
        <v>25.0</v>
      </c>
      <c r="B29" s="7" t="s">
        <v>287</v>
      </c>
      <c r="C29" s="8" t="s">
        <v>247</v>
      </c>
      <c r="D29" s="10" t="s">
        <v>289</v>
      </c>
      <c r="E29" s="10" t="s">
        <v>291</v>
      </c>
      <c r="F29" s="7" t="s">
        <v>204</v>
      </c>
      <c r="G29" s="13" t="s">
        <v>180</v>
      </c>
      <c r="H29" s="13" t="s">
        <v>179</v>
      </c>
      <c r="I29" s="13" t="s">
        <v>180</v>
      </c>
      <c r="J29" s="7" t="s">
        <v>49</v>
      </c>
      <c r="K29" s="21">
        <v>600000.0</v>
      </c>
      <c r="L29" s="21">
        <v>660000.0</v>
      </c>
      <c r="M29" s="21">
        <v>750000.0</v>
      </c>
      <c r="N29" s="13" t="s">
        <v>41</v>
      </c>
    </row>
    <row r="30" ht="15.75" customHeight="1">
      <c r="A30" s="7">
        <v>26.0</v>
      </c>
      <c r="B30" s="7" t="s">
        <v>294</v>
      </c>
      <c r="C30" s="8" t="s">
        <v>247</v>
      </c>
      <c r="D30" s="10" t="s">
        <v>295</v>
      </c>
      <c r="E30" s="10" t="s">
        <v>296</v>
      </c>
      <c r="F30" s="7" t="s">
        <v>204</v>
      </c>
      <c r="G30" s="13" t="s">
        <v>180</v>
      </c>
      <c r="H30" s="13" t="s">
        <v>180</v>
      </c>
      <c r="I30" s="13" t="s">
        <v>179</v>
      </c>
      <c r="J30" s="7" t="s">
        <v>49</v>
      </c>
      <c r="K30" s="21">
        <v>2000000.0</v>
      </c>
      <c r="L30" s="21">
        <v>2200000.0</v>
      </c>
      <c r="M30" s="21">
        <v>2500000.0</v>
      </c>
      <c r="N30" s="13" t="s">
        <v>41</v>
      </c>
    </row>
    <row r="31" ht="15.75" customHeight="1">
      <c r="A31" s="7">
        <v>27.0</v>
      </c>
      <c r="B31" s="7" t="s">
        <v>297</v>
      </c>
      <c r="C31" s="8" t="s">
        <v>247</v>
      </c>
      <c r="D31" s="10" t="s">
        <v>298</v>
      </c>
      <c r="E31" s="10" t="s">
        <v>299</v>
      </c>
      <c r="F31" s="7" t="s">
        <v>204</v>
      </c>
      <c r="G31" s="13" t="s">
        <v>179</v>
      </c>
      <c r="H31" s="13" t="s">
        <v>179</v>
      </c>
      <c r="I31" s="13" t="s">
        <v>179</v>
      </c>
      <c r="J31" s="7" t="s">
        <v>49</v>
      </c>
      <c r="K31" s="21">
        <v>3500.0</v>
      </c>
      <c r="L31" s="21">
        <v>3850.0</v>
      </c>
      <c r="M31" s="21">
        <v>4375.0</v>
      </c>
      <c r="N31" s="13" t="s">
        <v>41</v>
      </c>
    </row>
    <row r="32" ht="15.75" customHeight="1">
      <c r="A32" s="7">
        <v>28.0</v>
      </c>
      <c r="B32" s="7" t="s">
        <v>300</v>
      </c>
      <c r="C32" s="8" t="s">
        <v>301</v>
      </c>
      <c r="D32" s="10" t="s">
        <v>302</v>
      </c>
      <c r="E32" s="10" t="s">
        <v>303</v>
      </c>
      <c r="F32" s="7" t="s">
        <v>190</v>
      </c>
      <c r="G32" s="13" t="s">
        <v>179</v>
      </c>
      <c r="H32" s="13" t="s">
        <v>179</v>
      </c>
      <c r="I32" s="13" t="s">
        <v>179</v>
      </c>
      <c r="J32" s="7" t="s">
        <v>41</v>
      </c>
      <c r="K32" s="21">
        <v>1200.0</v>
      </c>
      <c r="L32" s="21">
        <v>1320.0</v>
      </c>
      <c r="M32" s="21">
        <v>1500.0</v>
      </c>
      <c r="N32" s="13" t="s">
        <v>41</v>
      </c>
    </row>
    <row r="33" ht="15.75" customHeight="1">
      <c r="A33" s="7">
        <v>29.0</v>
      </c>
      <c r="B33" s="7" t="s">
        <v>304</v>
      </c>
      <c r="C33" s="8" t="s">
        <v>301</v>
      </c>
      <c r="D33" s="10" t="s">
        <v>305</v>
      </c>
      <c r="E33" s="10" t="s">
        <v>306</v>
      </c>
      <c r="F33" s="7" t="s">
        <v>175</v>
      </c>
      <c r="G33" s="13" t="s">
        <v>180</v>
      </c>
      <c r="H33" s="13" t="s">
        <v>179</v>
      </c>
      <c r="I33" s="13" t="s">
        <v>179</v>
      </c>
      <c r="J33" s="7" t="s">
        <v>49</v>
      </c>
      <c r="K33" s="21">
        <v>350.0</v>
      </c>
      <c r="L33" s="21">
        <v>385.0</v>
      </c>
      <c r="M33" s="21">
        <v>438.0</v>
      </c>
      <c r="N33" s="13" t="s">
        <v>41</v>
      </c>
    </row>
    <row r="34" ht="15.75" customHeight="1">
      <c r="A34" s="7">
        <v>30.0</v>
      </c>
      <c r="B34" s="7" t="s">
        <v>307</v>
      </c>
      <c r="C34" s="8" t="s">
        <v>301</v>
      </c>
      <c r="D34" s="10" t="s">
        <v>308</v>
      </c>
      <c r="E34" s="10" t="s">
        <v>309</v>
      </c>
      <c r="F34" s="7" t="s">
        <v>190</v>
      </c>
      <c r="G34" s="13" t="s">
        <v>180</v>
      </c>
      <c r="H34" s="13" t="s">
        <v>179</v>
      </c>
      <c r="I34" s="13" t="s">
        <v>179</v>
      </c>
      <c r="J34" s="7" t="s">
        <v>49</v>
      </c>
      <c r="K34" s="21">
        <v>2500.0</v>
      </c>
      <c r="L34" s="21">
        <v>2750.0</v>
      </c>
      <c r="M34" s="21">
        <v>3125.0</v>
      </c>
      <c r="N34" s="13" t="s">
        <v>41</v>
      </c>
    </row>
    <row r="35" ht="15.75" customHeight="1">
      <c r="A35" s="7">
        <v>31.0</v>
      </c>
      <c r="B35" s="7" t="s">
        <v>310</v>
      </c>
      <c r="C35" s="8" t="s">
        <v>301</v>
      </c>
      <c r="D35" s="10" t="s">
        <v>311</v>
      </c>
      <c r="E35" s="10" t="s">
        <v>312</v>
      </c>
      <c r="F35" s="7" t="s">
        <v>313</v>
      </c>
      <c r="G35" s="13" t="s">
        <v>180</v>
      </c>
      <c r="H35" s="13" t="s">
        <v>179</v>
      </c>
      <c r="I35" s="13" t="s">
        <v>179</v>
      </c>
      <c r="J35" s="7" t="s">
        <v>49</v>
      </c>
      <c r="K35" s="21">
        <v>250000.0</v>
      </c>
      <c r="L35" s="21">
        <v>275000.0</v>
      </c>
      <c r="M35" s="21">
        <v>312500.0</v>
      </c>
      <c r="N35" s="13" t="s">
        <v>41</v>
      </c>
    </row>
    <row r="36" ht="15.75" customHeight="1">
      <c r="A36" s="7">
        <v>32.0</v>
      </c>
      <c r="B36" s="7" t="s">
        <v>314</v>
      </c>
      <c r="C36" s="8" t="s">
        <v>301</v>
      </c>
      <c r="D36" s="10" t="s">
        <v>315</v>
      </c>
      <c r="E36" s="10" t="s">
        <v>316</v>
      </c>
      <c r="F36" s="7" t="s">
        <v>204</v>
      </c>
      <c r="G36" s="13" t="s">
        <v>180</v>
      </c>
      <c r="H36" s="13" t="s">
        <v>179</v>
      </c>
      <c r="I36" s="13" t="s">
        <v>179</v>
      </c>
      <c r="J36" s="7" t="s">
        <v>49</v>
      </c>
      <c r="K36" s="21">
        <v>12000.0</v>
      </c>
      <c r="L36" s="21">
        <v>13200.0</v>
      </c>
      <c r="M36" s="21">
        <v>15000.0</v>
      </c>
      <c r="N36" s="13" t="s">
        <v>41</v>
      </c>
    </row>
    <row r="37" ht="15.75" customHeight="1">
      <c r="A37" s="7">
        <v>33.0</v>
      </c>
      <c r="B37" s="7" t="s">
        <v>317</v>
      </c>
      <c r="C37" s="8" t="s">
        <v>301</v>
      </c>
      <c r="D37" s="10" t="s">
        <v>318</v>
      </c>
      <c r="E37" s="10" t="s">
        <v>319</v>
      </c>
      <c r="F37" s="7" t="s">
        <v>313</v>
      </c>
      <c r="G37" s="13" t="s">
        <v>180</v>
      </c>
      <c r="H37" s="13" t="s">
        <v>180</v>
      </c>
      <c r="I37" s="13" t="s">
        <v>179</v>
      </c>
      <c r="J37" s="7" t="s">
        <v>49</v>
      </c>
      <c r="K37" s="21">
        <v>400000.0</v>
      </c>
      <c r="L37" s="21">
        <v>440000.0</v>
      </c>
      <c r="M37" s="21">
        <v>500000.0</v>
      </c>
      <c r="N37" s="13" t="s">
        <v>41</v>
      </c>
    </row>
    <row r="38" ht="15.75" customHeight="1">
      <c r="A38" s="7">
        <v>34.0</v>
      </c>
      <c r="B38" s="7" t="s">
        <v>320</v>
      </c>
      <c r="C38" s="8" t="s">
        <v>301</v>
      </c>
      <c r="D38" s="10" t="s">
        <v>321</v>
      </c>
      <c r="E38" s="10" t="s">
        <v>322</v>
      </c>
      <c r="F38" s="7" t="s">
        <v>204</v>
      </c>
      <c r="G38" s="13" t="s">
        <v>179</v>
      </c>
      <c r="H38" s="13" t="s">
        <v>179</v>
      </c>
      <c r="I38" s="13" t="s">
        <v>179</v>
      </c>
      <c r="J38" s="7" t="s">
        <v>49</v>
      </c>
      <c r="K38" s="21">
        <v>1500.0</v>
      </c>
      <c r="L38" s="21">
        <v>1650.0</v>
      </c>
      <c r="M38" s="21">
        <v>1875.0</v>
      </c>
      <c r="N38" s="13" t="s">
        <v>41</v>
      </c>
    </row>
    <row r="39" ht="15.75" customHeight="1">
      <c r="A39" s="7">
        <v>35.0</v>
      </c>
      <c r="B39" s="7" t="s">
        <v>323</v>
      </c>
      <c r="C39" s="8" t="s">
        <v>324</v>
      </c>
      <c r="D39" s="10" t="s">
        <v>325</v>
      </c>
      <c r="E39" s="10" t="s">
        <v>326</v>
      </c>
      <c r="F39" s="7" t="s">
        <v>327</v>
      </c>
      <c r="G39" s="13" t="s">
        <v>180</v>
      </c>
      <c r="H39" s="13" t="s">
        <v>180</v>
      </c>
      <c r="I39" s="13" t="s">
        <v>179</v>
      </c>
      <c r="J39" s="7" t="s">
        <v>49</v>
      </c>
      <c r="K39" s="21">
        <v>2800.0</v>
      </c>
      <c r="L39" s="21">
        <v>3080.0</v>
      </c>
      <c r="M39" s="21">
        <v>3500.0</v>
      </c>
      <c r="N39" s="13" t="s">
        <v>41</v>
      </c>
    </row>
    <row r="40" ht="15.75" customHeight="1">
      <c r="A40" s="7">
        <v>36.0</v>
      </c>
      <c r="B40" s="7" t="s">
        <v>328</v>
      </c>
      <c r="C40" s="8" t="s">
        <v>324</v>
      </c>
      <c r="D40" s="10" t="s">
        <v>329</v>
      </c>
      <c r="E40" s="10" t="s">
        <v>330</v>
      </c>
      <c r="F40" s="7" t="s">
        <v>175</v>
      </c>
      <c r="G40" s="13" t="s">
        <v>180</v>
      </c>
      <c r="H40" s="13" t="s">
        <v>180</v>
      </c>
      <c r="I40" s="13" t="s">
        <v>179</v>
      </c>
      <c r="J40" s="7" t="s">
        <v>49</v>
      </c>
      <c r="K40" s="21">
        <v>30000.0</v>
      </c>
      <c r="L40" s="21">
        <v>33000.0</v>
      </c>
      <c r="M40" s="21">
        <v>37500.0</v>
      </c>
      <c r="N40" s="13" t="s">
        <v>41</v>
      </c>
    </row>
    <row r="41" ht="15.75" customHeight="1">
      <c r="A41" s="7">
        <v>37.0</v>
      </c>
      <c r="B41" s="7" t="s">
        <v>331</v>
      </c>
      <c r="C41" s="8" t="s">
        <v>324</v>
      </c>
      <c r="D41" s="10" t="s">
        <v>332</v>
      </c>
      <c r="E41" s="10" t="s">
        <v>333</v>
      </c>
      <c r="F41" s="7" t="s">
        <v>204</v>
      </c>
      <c r="G41" s="13" t="s">
        <v>180</v>
      </c>
      <c r="H41" s="13" t="s">
        <v>180</v>
      </c>
      <c r="I41" s="13" t="s">
        <v>179</v>
      </c>
      <c r="J41" s="7" t="s">
        <v>49</v>
      </c>
      <c r="K41" s="21">
        <v>18000.0</v>
      </c>
      <c r="L41" s="21">
        <v>19800.0</v>
      </c>
      <c r="M41" s="21">
        <v>22500.0</v>
      </c>
      <c r="N41" s="13" t="s">
        <v>41</v>
      </c>
    </row>
    <row r="42" ht="15.75" customHeight="1">
      <c r="A42" s="7">
        <v>38.0</v>
      </c>
      <c r="B42" s="7" t="s">
        <v>334</v>
      </c>
      <c r="C42" s="8" t="s">
        <v>324</v>
      </c>
      <c r="D42" s="10" t="s">
        <v>335</v>
      </c>
      <c r="E42" s="10" t="s">
        <v>336</v>
      </c>
      <c r="F42" s="7" t="s">
        <v>190</v>
      </c>
      <c r="G42" s="13" t="s">
        <v>180</v>
      </c>
      <c r="H42" s="13" t="s">
        <v>180</v>
      </c>
      <c r="I42" s="13" t="s">
        <v>179</v>
      </c>
      <c r="J42" s="7" t="s">
        <v>49</v>
      </c>
      <c r="K42" s="21">
        <v>450.0</v>
      </c>
      <c r="L42" s="21">
        <v>495.0</v>
      </c>
      <c r="M42" s="21">
        <v>562.0</v>
      </c>
      <c r="N42" s="13" t="s">
        <v>41</v>
      </c>
    </row>
    <row r="43" ht="15.75" customHeight="1">
      <c r="A43" s="7">
        <v>39.0</v>
      </c>
      <c r="B43" s="7" t="s">
        <v>337</v>
      </c>
      <c r="C43" s="8" t="s">
        <v>324</v>
      </c>
      <c r="D43" s="10" t="s">
        <v>338</v>
      </c>
      <c r="E43" s="10" t="s">
        <v>339</v>
      </c>
      <c r="F43" s="7" t="s">
        <v>204</v>
      </c>
      <c r="G43" s="13" t="s">
        <v>180</v>
      </c>
      <c r="H43" s="13" t="s">
        <v>180</v>
      </c>
      <c r="I43" s="13" t="s">
        <v>179</v>
      </c>
      <c r="J43" s="7" t="s">
        <v>49</v>
      </c>
      <c r="K43" s="21">
        <v>150000.0</v>
      </c>
      <c r="L43" s="21">
        <v>165000.0</v>
      </c>
      <c r="M43" s="21">
        <v>187500.0</v>
      </c>
      <c r="N43" s="13" t="s">
        <v>41</v>
      </c>
    </row>
    <row r="44" ht="15.75" customHeight="1">
      <c r="A44" s="7">
        <v>40.0</v>
      </c>
      <c r="B44" s="7" t="s">
        <v>340</v>
      </c>
      <c r="C44" s="8" t="s">
        <v>341</v>
      </c>
      <c r="D44" s="10" t="s">
        <v>342</v>
      </c>
      <c r="E44" s="10" t="s">
        <v>343</v>
      </c>
      <c r="F44" s="7" t="s">
        <v>204</v>
      </c>
      <c r="G44" s="13" t="s">
        <v>179</v>
      </c>
      <c r="H44" s="13" t="s">
        <v>179</v>
      </c>
      <c r="I44" s="13" t="s">
        <v>179</v>
      </c>
      <c r="J44" s="7" t="s">
        <v>49</v>
      </c>
      <c r="K44" s="21">
        <v>50000.0</v>
      </c>
      <c r="L44" s="21">
        <v>55000.0</v>
      </c>
      <c r="M44" s="21">
        <v>62500.0</v>
      </c>
      <c r="N44" s="13" t="s">
        <v>41</v>
      </c>
    </row>
    <row r="45" ht="15.75" customHeight="1">
      <c r="G45" s="15"/>
      <c r="H45" s="15"/>
      <c r="I45" s="15"/>
      <c r="J45" s="15"/>
      <c r="N45" s="15"/>
    </row>
    <row r="46" ht="15.75" customHeight="1">
      <c r="A46" s="3" t="s">
        <v>344</v>
      </c>
      <c r="G46" s="15"/>
      <c r="H46" s="15"/>
      <c r="I46" s="15"/>
      <c r="J46" s="15"/>
      <c r="N46" s="15"/>
    </row>
    <row r="47" ht="15.75" customHeight="1">
      <c r="G47" s="15"/>
      <c r="H47" s="15"/>
      <c r="I47" s="15"/>
      <c r="J47" s="15"/>
      <c r="N47" s="15"/>
    </row>
    <row r="48" ht="15.75" customHeight="1">
      <c r="G48" s="15"/>
      <c r="H48" s="15"/>
      <c r="I48" s="15"/>
      <c r="J48" s="15"/>
      <c r="N48" s="15"/>
    </row>
    <row r="49" ht="15.75" customHeight="1">
      <c r="G49" s="15"/>
      <c r="H49" s="15"/>
      <c r="I49" s="15"/>
      <c r="J49" s="15"/>
      <c r="N49" s="15"/>
    </row>
    <row r="50" ht="15.75" customHeight="1">
      <c r="G50" s="15"/>
      <c r="H50" s="15"/>
      <c r="I50" s="15"/>
      <c r="J50" s="15"/>
      <c r="N50" s="15"/>
    </row>
    <row r="51" ht="15.75" customHeight="1">
      <c r="G51" s="15"/>
      <c r="H51" s="15"/>
      <c r="I51" s="15"/>
      <c r="J51" s="15"/>
      <c r="N51" s="15"/>
    </row>
    <row r="52" ht="15.75" customHeight="1">
      <c r="G52" s="15"/>
      <c r="H52" s="15"/>
      <c r="I52" s="15"/>
      <c r="J52" s="15"/>
      <c r="N52" s="15"/>
    </row>
    <row r="53" ht="15.75" customHeight="1">
      <c r="G53" s="15"/>
      <c r="H53" s="15"/>
      <c r="I53" s="15"/>
      <c r="J53" s="15"/>
      <c r="N53" s="15"/>
    </row>
    <row r="54" ht="15.75" customHeight="1">
      <c r="G54" s="15"/>
      <c r="H54" s="15"/>
      <c r="I54" s="15"/>
      <c r="J54" s="15"/>
      <c r="N54" s="15"/>
    </row>
    <row r="55" ht="15.75" customHeight="1">
      <c r="G55" s="15"/>
      <c r="H55" s="15"/>
      <c r="I55" s="15"/>
      <c r="J55" s="15"/>
      <c r="N55" s="15"/>
    </row>
    <row r="56" ht="15.75" customHeight="1">
      <c r="G56" s="15"/>
      <c r="H56" s="15"/>
      <c r="I56" s="15"/>
      <c r="J56" s="15"/>
      <c r="N56" s="15"/>
    </row>
    <row r="57" ht="15.75" customHeight="1">
      <c r="G57" s="15"/>
      <c r="H57" s="15"/>
      <c r="I57" s="15"/>
      <c r="J57" s="15"/>
      <c r="N57" s="15"/>
    </row>
    <row r="58" ht="15.75" customHeight="1">
      <c r="G58" s="15"/>
      <c r="H58" s="15"/>
      <c r="I58" s="15"/>
      <c r="J58" s="15"/>
      <c r="N58" s="15"/>
    </row>
    <row r="59" ht="15.75" customHeight="1">
      <c r="G59" s="15"/>
      <c r="H59" s="15"/>
      <c r="I59" s="15"/>
      <c r="J59" s="15"/>
      <c r="N59" s="15"/>
    </row>
    <row r="60" ht="15.75" customHeight="1">
      <c r="G60" s="15"/>
      <c r="H60" s="15"/>
      <c r="I60" s="15"/>
      <c r="J60" s="15"/>
      <c r="N60" s="15"/>
    </row>
    <row r="61" ht="15.75" customHeight="1">
      <c r="G61" s="15"/>
      <c r="H61" s="15"/>
      <c r="I61" s="15"/>
      <c r="J61" s="15"/>
      <c r="N61" s="15"/>
    </row>
    <row r="62" ht="15.75" customHeight="1">
      <c r="G62" s="15"/>
      <c r="H62" s="15"/>
      <c r="I62" s="15"/>
      <c r="J62" s="15"/>
      <c r="N62" s="15"/>
    </row>
    <row r="63" ht="15.75" customHeight="1">
      <c r="G63" s="15"/>
      <c r="H63" s="15"/>
      <c r="I63" s="15"/>
      <c r="J63" s="15"/>
      <c r="N63" s="15"/>
    </row>
    <row r="64" ht="15.75" customHeight="1">
      <c r="G64" s="15"/>
      <c r="H64" s="15"/>
      <c r="I64" s="15"/>
      <c r="J64" s="15"/>
      <c r="N64" s="15"/>
    </row>
    <row r="65" ht="15.75" customHeight="1">
      <c r="G65" s="15"/>
      <c r="H65" s="15"/>
      <c r="I65" s="15"/>
      <c r="J65" s="15"/>
      <c r="N65" s="15"/>
    </row>
    <row r="66" ht="15.75" customHeight="1">
      <c r="G66" s="15"/>
      <c r="H66" s="15"/>
      <c r="I66" s="15"/>
      <c r="J66" s="15"/>
      <c r="N66" s="15"/>
    </row>
    <row r="67" ht="15.75" customHeight="1">
      <c r="G67" s="15"/>
      <c r="H67" s="15"/>
      <c r="I67" s="15"/>
      <c r="J67" s="15"/>
      <c r="N67" s="15"/>
    </row>
    <row r="68" ht="15.75" customHeight="1">
      <c r="G68" s="15"/>
      <c r="H68" s="15"/>
      <c r="I68" s="15"/>
      <c r="J68" s="15"/>
      <c r="N68" s="15"/>
    </row>
    <row r="69" ht="15.75" customHeight="1">
      <c r="G69" s="15"/>
      <c r="H69" s="15"/>
      <c r="I69" s="15"/>
      <c r="J69" s="15"/>
      <c r="N69" s="15"/>
    </row>
    <row r="70" ht="15.75" customHeight="1">
      <c r="G70" s="15"/>
      <c r="H70" s="15"/>
      <c r="I70" s="15"/>
      <c r="J70" s="15"/>
      <c r="N70" s="15"/>
    </row>
    <row r="71" ht="15.75" customHeight="1">
      <c r="G71" s="15"/>
      <c r="H71" s="15"/>
      <c r="I71" s="15"/>
      <c r="J71" s="15"/>
      <c r="N71" s="15"/>
    </row>
    <row r="72" ht="15.75" customHeight="1">
      <c r="G72" s="15"/>
      <c r="H72" s="15"/>
      <c r="I72" s="15"/>
      <c r="J72" s="15"/>
      <c r="N72" s="15"/>
    </row>
    <row r="73" ht="15.75" customHeight="1">
      <c r="G73" s="15"/>
      <c r="H73" s="15"/>
      <c r="I73" s="15"/>
      <c r="J73" s="15"/>
      <c r="N73" s="15"/>
    </row>
    <row r="74" ht="15.75" customHeight="1">
      <c r="G74" s="15"/>
      <c r="H74" s="15"/>
      <c r="I74" s="15"/>
      <c r="J74" s="15"/>
      <c r="N74" s="15"/>
    </row>
    <row r="75" ht="15.75" customHeight="1">
      <c r="G75" s="15"/>
      <c r="H75" s="15"/>
      <c r="I75" s="15"/>
      <c r="J75" s="15"/>
      <c r="N75" s="15"/>
    </row>
    <row r="76" ht="15.75" customHeight="1">
      <c r="G76" s="15"/>
      <c r="H76" s="15"/>
      <c r="I76" s="15"/>
      <c r="J76" s="15"/>
      <c r="N76" s="15"/>
    </row>
    <row r="77" ht="15.75" customHeight="1">
      <c r="G77" s="15"/>
      <c r="H77" s="15"/>
      <c r="I77" s="15"/>
      <c r="J77" s="15"/>
      <c r="N77" s="15"/>
    </row>
    <row r="78" ht="15.75" customHeight="1">
      <c r="G78" s="15"/>
      <c r="H78" s="15"/>
      <c r="I78" s="15"/>
      <c r="J78" s="15"/>
      <c r="N78" s="15"/>
    </row>
    <row r="79" ht="15.75" customHeight="1">
      <c r="G79" s="15"/>
      <c r="H79" s="15"/>
      <c r="I79" s="15"/>
      <c r="J79" s="15"/>
      <c r="N79" s="15"/>
    </row>
    <row r="80" ht="15.75" customHeight="1">
      <c r="G80" s="15"/>
      <c r="H80" s="15"/>
      <c r="I80" s="15"/>
      <c r="J80" s="15"/>
      <c r="N80" s="15"/>
    </row>
    <row r="81" ht="15.75" customHeight="1">
      <c r="G81" s="15"/>
      <c r="H81" s="15"/>
      <c r="I81" s="15"/>
      <c r="J81" s="15"/>
      <c r="N81" s="15"/>
    </row>
    <row r="82" ht="15.75" customHeight="1">
      <c r="G82" s="15"/>
      <c r="H82" s="15"/>
      <c r="I82" s="15"/>
      <c r="J82" s="15"/>
      <c r="N82" s="15"/>
    </row>
    <row r="83" ht="15.75" customHeight="1">
      <c r="G83" s="15"/>
      <c r="H83" s="15"/>
      <c r="I83" s="15"/>
      <c r="J83" s="15"/>
      <c r="N83" s="15"/>
    </row>
    <row r="84" ht="15.75" customHeight="1">
      <c r="G84" s="15"/>
      <c r="H84" s="15"/>
      <c r="I84" s="15"/>
      <c r="J84" s="15"/>
      <c r="N84" s="15"/>
    </row>
    <row r="85" ht="15.75" customHeight="1">
      <c r="G85" s="15"/>
      <c r="H85" s="15"/>
      <c r="I85" s="15"/>
      <c r="J85" s="15"/>
      <c r="N85" s="15"/>
    </row>
    <row r="86" ht="15.75" customHeight="1">
      <c r="G86" s="15"/>
      <c r="H86" s="15"/>
      <c r="I86" s="15"/>
      <c r="J86" s="15"/>
      <c r="N86" s="15"/>
    </row>
    <row r="87" ht="15.75" customHeight="1">
      <c r="G87" s="15"/>
      <c r="H87" s="15"/>
      <c r="I87" s="15"/>
      <c r="J87" s="15"/>
      <c r="N87" s="15"/>
    </row>
    <row r="88" ht="15.75" customHeight="1">
      <c r="G88" s="15"/>
      <c r="H88" s="15"/>
      <c r="I88" s="15"/>
      <c r="J88" s="15"/>
      <c r="N88" s="15"/>
    </row>
    <row r="89" ht="15.75" customHeight="1">
      <c r="G89" s="15"/>
      <c r="H89" s="15"/>
      <c r="I89" s="15"/>
      <c r="J89" s="15"/>
      <c r="N89" s="15"/>
    </row>
    <row r="90" ht="15.75" customHeight="1">
      <c r="G90" s="15"/>
      <c r="H90" s="15"/>
      <c r="I90" s="15"/>
      <c r="J90" s="15"/>
      <c r="N90" s="15"/>
    </row>
    <row r="91" ht="15.75" customHeight="1">
      <c r="G91" s="15"/>
      <c r="H91" s="15"/>
      <c r="I91" s="15"/>
      <c r="J91" s="15"/>
      <c r="N91" s="15"/>
    </row>
    <row r="92" ht="15.75" customHeight="1">
      <c r="G92" s="15"/>
      <c r="H92" s="15"/>
      <c r="I92" s="15"/>
      <c r="J92" s="15"/>
      <c r="N92" s="15"/>
    </row>
    <row r="93" ht="15.75" customHeight="1">
      <c r="G93" s="15"/>
      <c r="H93" s="15"/>
      <c r="I93" s="15"/>
      <c r="J93" s="15"/>
      <c r="N93" s="15"/>
    </row>
    <row r="94" ht="15.75" customHeight="1">
      <c r="G94" s="15"/>
      <c r="H94" s="15"/>
      <c r="I94" s="15"/>
      <c r="J94" s="15"/>
      <c r="N94" s="15"/>
    </row>
    <row r="95" ht="15.75" customHeight="1">
      <c r="G95" s="15"/>
      <c r="H95" s="15"/>
      <c r="I95" s="15"/>
      <c r="J95" s="15"/>
      <c r="N95" s="15"/>
    </row>
    <row r="96" ht="15.75" customHeight="1">
      <c r="G96" s="15"/>
      <c r="H96" s="15"/>
      <c r="I96" s="15"/>
      <c r="J96" s="15"/>
      <c r="N96" s="15"/>
    </row>
    <row r="97" ht="15.75" customHeight="1">
      <c r="G97" s="15"/>
      <c r="H97" s="15"/>
      <c r="I97" s="15"/>
      <c r="J97" s="15"/>
      <c r="N97" s="15"/>
    </row>
    <row r="98" ht="15.75" customHeight="1">
      <c r="G98" s="15"/>
      <c r="H98" s="15"/>
      <c r="I98" s="15"/>
      <c r="J98" s="15"/>
      <c r="N98" s="15"/>
    </row>
    <row r="99" ht="15.75" customHeight="1">
      <c r="G99" s="15"/>
      <c r="H99" s="15"/>
      <c r="I99" s="15"/>
      <c r="J99" s="15"/>
      <c r="N99" s="15"/>
    </row>
    <row r="100" ht="15.75" customHeight="1">
      <c r="G100" s="15"/>
      <c r="H100" s="15"/>
      <c r="I100" s="15"/>
      <c r="J100" s="15"/>
      <c r="N100" s="15"/>
    </row>
    <row r="101" ht="15.75" customHeight="1">
      <c r="G101" s="15"/>
      <c r="H101" s="15"/>
      <c r="I101" s="15"/>
      <c r="J101" s="15"/>
      <c r="N101" s="15"/>
    </row>
    <row r="102" ht="15.75" customHeight="1">
      <c r="G102" s="15"/>
      <c r="H102" s="15"/>
      <c r="I102" s="15"/>
      <c r="J102" s="15"/>
      <c r="N102" s="15"/>
    </row>
    <row r="103" ht="15.75" customHeight="1">
      <c r="G103" s="15"/>
      <c r="H103" s="15"/>
      <c r="I103" s="15"/>
      <c r="J103" s="15"/>
      <c r="N103" s="15"/>
    </row>
    <row r="104" ht="15.75" customHeight="1">
      <c r="G104" s="15"/>
      <c r="H104" s="15"/>
      <c r="I104" s="15"/>
      <c r="J104" s="15"/>
      <c r="N104" s="15"/>
    </row>
    <row r="105" ht="15.75" customHeight="1">
      <c r="G105" s="15"/>
      <c r="H105" s="15"/>
      <c r="I105" s="15"/>
      <c r="J105" s="15"/>
      <c r="N105" s="15"/>
    </row>
    <row r="106" ht="15.75" customHeight="1">
      <c r="G106" s="15"/>
      <c r="H106" s="15"/>
      <c r="I106" s="15"/>
      <c r="J106" s="15"/>
      <c r="N106" s="15"/>
    </row>
    <row r="107" ht="15.75" customHeight="1">
      <c r="G107" s="15"/>
      <c r="H107" s="15"/>
      <c r="I107" s="15"/>
      <c r="J107" s="15"/>
      <c r="N107" s="15"/>
    </row>
    <row r="108" ht="15.75" customHeight="1">
      <c r="G108" s="15"/>
      <c r="H108" s="15"/>
      <c r="I108" s="15"/>
      <c r="J108" s="15"/>
      <c r="N108" s="15"/>
    </row>
    <row r="109" ht="15.75" customHeight="1">
      <c r="G109" s="15"/>
      <c r="H109" s="15"/>
      <c r="I109" s="15"/>
      <c r="J109" s="15"/>
      <c r="N109" s="15"/>
    </row>
    <row r="110" ht="15.75" customHeight="1">
      <c r="G110" s="15"/>
      <c r="H110" s="15"/>
      <c r="I110" s="15"/>
      <c r="J110" s="15"/>
      <c r="N110" s="15"/>
    </row>
    <row r="111" ht="15.75" customHeight="1">
      <c r="G111" s="15"/>
      <c r="H111" s="15"/>
      <c r="I111" s="15"/>
      <c r="J111" s="15"/>
      <c r="N111" s="15"/>
    </row>
    <row r="112" ht="15.75" customHeight="1">
      <c r="G112" s="15"/>
      <c r="H112" s="15"/>
      <c r="I112" s="15"/>
      <c r="J112" s="15"/>
      <c r="N112" s="15"/>
    </row>
    <row r="113" ht="15.75" customHeight="1">
      <c r="G113" s="15"/>
      <c r="H113" s="15"/>
      <c r="I113" s="15"/>
      <c r="J113" s="15"/>
      <c r="N113" s="15"/>
    </row>
    <row r="114" ht="15.75" customHeight="1">
      <c r="G114" s="15"/>
      <c r="H114" s="15"/>
      <c r="I114" s="15"/>
      <c r="J114" s="15"/>
      <c r="N114" s="15"/>
    </row>
    <row r="115" ht="15.75" customHeight="1">
      <c r="G115" s="15"/>
      <c r="H115" s="15"/>
      <c r="I115" s="15"/>
      <c r="J115" s="15"/>
      <c r="N115" s="15"/>
    </row>
    <row r="116" ht="15.75" customHeight="1">
      <c r="G116" s="15"/>
      <c r="H116" s="15"/>
      <c r="I116" s="15"/>
      <c r="J116" s="15"/>
      <c r="N116" s="15"/>
    </row>
    <row r="117" ht="15.75" customHeight="1">
      <c r="G117" s="15"/>
      <c r="H117" s="15"/>
      <c r="I117" s="15"/>
      <c r="J117" s="15"/>
      <c r="N117" s="15"/>
    </row>
    <row r="118" ht="15.75" customHeight="1">
      <c r="G118" s="15"/>
      <c r="H118" s="15"/>
      <c r="I118" s="15"/>
      <c r="J118" s="15"/>
      <c r="N118" s="15"/>
    </row>
    <row r="119" ht="15.75" customHeight="1">
      <c r="G119" s="15"/>
      <c r="H119" s="15"/>
      <c r="I119" s="15"/>
      <c r="J119" s="15"/>
      <c r="N119" s="15"/>
    </row>
    <row r="120" ht="15.75" customHeight="1">
      <c r="G120" s="15"/>
      <c r="H120" s="15"/>
      <c r="I120" s="15"/>
      <c r="J120" s="15"/>
      <c r="N120" s="15"/>
    </row>
    <row r="121" ht="15.75" customHeight="1">
      <c r="G121" s="15"/>
      <c r="H121" s="15"/>
      <c r="I121" s="15"/>
      <c r="J121" s="15"/>
      <c r="N121" s="15"/>
    </row>
    <row r="122" ht="15.75" customHeight="1">
      <c r="G122" s="15"/>
      <c r="H122" s="15"/>
      <c r="I122" s="15"/>
      <c r="J122" s="15"/>
      <c r="N122" s="15"/>
    </row>
    <row r="123" ht="15.75" customHeight="1">
      <c r="G123" s="15"/>
      <c r="H123" s="15"/>
      <c r="I123" s="15"/>
      <c r="J123" s="15"/>
      <c r="N123" s="15"/>
    </row>
    <row r="124" ht="15.75" customHeight="1">
      <c r="G124" s="15"/>
      <c r="H124" s="15"/>
      <c r="I124" s="15"/>
      <c r="J124" s="15"/>
      <c r="N124" s="15"/>
    </row>
    <row r="125" ht="15.75" customHeight="1">
      <c r="G125" s="15"/>
      <c r="H125" s="15"/>
      <c r="I125" s="15"/>
      <c r="J125" s="15"/>
      <c r="N125" s="15"/>
    </row>
    <row r="126" ht="15.75" customHeight="1">
      <c r="G126" s="15"/>
      <c r="H126" s="15"/>
      <c r="I126" s="15"/>
      <c r="J126" s="15"/>
      <c r="N126" s="15"/>
    </row>
    <row r="127" ht="15.75" customHeight="1">
      <c r="G127" s="15"/>
      <c r="H127" s="15"/>
      <c r="I127" s="15"/>
      <c r="J127" s="15"/>
      <c r="N127" s="15"/>
    </row>
    <row r="128" ht="15.75" customHeight="1">
      <c r="G128" s="15"/>
      <c r="H128" s="15"/>
      <c r="I128" s="15"/>
      <c r="J128" s="15"/>
      <c r="N128" s="15"/>
    </row>
    <row r="129" ht="15.75" customHeight="1">
      <c r="G129" s="15"/>
      <c r="H129" s="15"/>
      <c r="I129" s="15"/>
      <c r="J129" s="15"/>
      <c r="N129" s="15"/>
    </row>
    <row r="130" ht="15.75" customHeight="1">
      <c r="G130" s="15"/>
      <c r="H130" s="15"/>
      <c r="I130" s="15"/>
      <c r="J130" s="15"/>
      <c r="N130" s="15"/>
    </row>
    <row r="131" ht="15.75" customHeight="1">
      <c r="G131" s="15"/>
      <c r="H131" s="15"/>
      <c r="I131" s="15"/>
      <c r="J131" s="15"/>
      <c r="N131" s="15"/>
    </row>
    <row r="132" ht="15.75" customHeight="1">
      <c r="G132" s="15"/>
      <c r="H132" s="15"/>
      <c r="I132" s="15"/>
      <c r="J132" s="15"/>
      <c r="N132" s="15"/>
    </row>
    <row r="133" ht="15.75" customHeight="1">
      <c r="G133" s="15"/>
      <c r="H133" s="15"/>
      <c r="I133" s="15"/>
      <c r="J133" s="15"/>
      <c r="N133" s="15"/>
    </row>
    <row r="134" ht="15.75" customHeight="1">
      <c r="G134" s="15"/>
      <c r="H134" s="15"/>
      <c r="I134" s="15"/>
      <c r="J134" s="15"/>
      <c r="N134" s="15"/>
    </row>
    <row r="135" ht="15.75" customHeight="1">
      <c r="G135" s="15"/>
      <c r="H135" s="15"/>
      <c r="I135" s="15"/>
      <c r="J135" s="15"/>
      <c r="N135" s="15"/>
    </row>
    <row r="136" ht="15.75" customHeight="1">
      <c r="G136" s="15"/>
      <c r="H136" s="15"/>
      <c r="I136" s="15"/>
      <c r="J136" s="15"/>
      <c r="N136" s="15"/>
    </row>
    <row r="137" ht="15.75" customHeight="1">
      <c r="G137" s="15"/>
      <c r="H137" s="15"/>
      <c r="I137" s="15"/>
      <c r="J137" s="15"/>
      <c r="N137" s="15"/>
    </row>
    <row r="138" ht="15.75" customHeight="1">
      <c r="G138" s="15"/>
      <c r="H138" s="15"/>
      <c r="I138" s="15"/>
      <c r="J138" s="15"/>
      <c r="N138" s="15"/>
    </row>
    <row r="139" ht="15.75" customHeight="1">
      <c r="G139" s="15"/>
      <c r="H139" s="15"/>
      <c r="I139" s="15"/>
      <c r="J139" s="15"/>
      <c r="N139" s="15"/>
    </row>
    <row r="140" ht="15.75" customHeight="1">
      <c r="G140" s="15"/>
      <c r="H140" s="15"/>
      <c r="I140" s="15"/>
      <c r="J140" s="15"/>
      <c r="N140" s="15"/>
    </row>
    <row r="141" ht="15.75" customHeight="1">
      <c r="G141" s="15"/>
      <c r="H141" s="15"/>
      <c r="I141" s="15"/>
      <c r="J141" s="15"/>
      <c r="N141" s="15"/>
    </row>
    <row r="142" ht="15.75" customHeight="1">
      <c r="G142" s="15"/>
      <c r="H142" s="15"/>
      <c r="I142" s="15"/>
      <c r="J142" s="15"/>
      <c r="N142" s="15"/>
    </row>
    <row r="143" ht="15.75" customHeight="1">
      <c r="G143" s="15"/>
      <c r="H143" s="15"/>
      <c r="I143" s="15"/>
      <c r="J143" s="15"/>
      <c r="N143" s="15"/>
    </row>
    <row r="144" ht="15.75" customHeight="1">
      <c r="G144" s="15"/>
      <c r="H144" s="15"/>
      <c r="I144" s="15"/>
      <c r="J144" s="15"/>
      <c r="N144" s="15"/>
    </row>
    <row r="145" ht="15.75" customHeight="1">
      <c r="G145" s="15"/>
      <c r="H145" s="15"/>
      <c r="I145" s="15"/>
      <c r="J145" s="15"/>
      <c r="N145" s="15"/>
    </row>
    <row r="146" ht="15.75" customHeight="1">
      <c r="G146" s="15"/>
      <c r="H146" s="15"/>
      <c r="I146" s="15"/>
      <c r="J146" s="15"/>
      <c r="N146" s="15"/>
    </row>
    <row r="147" ht="15.75" customHeight="1">
      <c r="G147" s="15"/>
      <c r="H147" s="15"/>
      <c r="I147" s="15"/>
      <c r="J147" s="15"/>
      <c r="N147" s="15"/>
    </row>
    <row r="148" ht="15.75" customHeight="1">
      <c r="G148" s="15"/>
      <c r="H148" s="15"/>
      <c r="I148" s="15"/>
      <c r="J148" s="15"/>
      <c r="N148" s="15"/>
    </row>
    <row r="149" ht="15.75" customHeight="1">
      <c r="G149" s="15"/>
      <c r="H149" s="15"/>
      <c r="I149" s="15"/>
      <c r="J149" s="15"/>
      <c r="N149" s="15"/>
    </row>
    <row r="150" ht="15.75" customHeight="1">
      <c r="G150" s="15"/>
      <c r="H150" s="15"/>
      <c r="I150" s="15"/>
      <c r="J150" s="15"/>
      <c r="N150" s="15"/>
    </row>
    <row r="151" ht="15.75" customHeight="1">
      <c r="G151" s="15"/>
      <c r="H151" s="15"/>
      <c r="I151" s="15"/>
      <c r="J151" s="15"/>
      <c r="N151" s="15"/>
    </row>
    <row r="152" ht="15.75" customHeight="1">
      <c r="G152" s="15"/>
      <c r="H152" s="15"/>
      <c r="I152" s="15"/>
      <c r="J152" s="15"/>
      <c r="N152" s="15"/>
    </row>
    <row r="153" ht="15.75" customHeight="1">
      <c r="G153" s="15"/>
      <c r="H153" s="15"/>
      <c r="I153" s="15"/>
      <c r="J153" s="15"/>
      <c r="N153" s="15"/>
    </row>
    <row r="154" ht="15.75" customHeight="1">
      <c r="G154" s="15"/>
      <c r="H154" s="15"/>
      <c r="I154" s="15"/>
      <c r="J154" s="15"/>
      <c r="N154" s="15"/>
    </row>
    <row r="155" ht="15.75" customHeight="1">
      <c r="G155" s="15"/>
      <c r="H155" s="15"/>
      <c r="I155" s="15"/>
      <c r="J155" s="15"/>
      <c r="N155" s="15"/>
    </row>
    <row r="156" ht="15.75" customHeight="1">
      <c r="G156" s="15"/>
      <c r="H156" s="15"/>
      <c r="I156" s="15"/>
      <c r="J156" s="15"/>
      <c r="N156" s="15"/>
    </row>
    <row r="157" ht="15.75" customHeight="1">
      <c r="G157" s="15"/>
      <c r="H157" s="15"/>
      <c r="I157" s="15"/>
      <c r="J157" s="15"/>
      <c r="N157" s="15"/>
    </row>
    <row r="158" ht="15.75" customHeight="1">
      <c r="G158" s="15"/>
      <c r="H158" s="15"/>
      <c r="I158" s="15"/>
      <c r="J158" s="15"/>
      <c r="N158" s="15"/>
    </row>
    <row r="159" ht="15.75" customHeight="1">
      <c r="G159" s="15"/>
      <c r="H159" s="15"/>
      <c r="I159" s="15"/>
      <c r="J159" s="15"/>
      <c r="N159" s="15"/>
    </row>
    <row r="160" ht="15.75" customHeight="1">
      <c r="G160" s="15"/>
      <c r="H160" s="15"/>
      <c r="I160" s="15"/>
      <c r="J160" s="15"/>
      <c r="N160" s="15"/>
    </row>
    <row r="161" ht="15.75" customHeight="1">
      <c r="G161" s="15"/>
      <c r="H161" s="15"/>
      <c r="I161" s="15"/>
      <c r="J161" s="15"/>
      <c r="N161" s="15"/>
    </row>
    <row r="162" ht="15.75" customHeight="1">
      <c r="G162" s="15"/>
      <c r="H162" s="15"/>
      <c r="I162" s="15"/>
      <c r="J162" s="15"/>
      <c r="N162" s="15"/>
    </row>
    <row r="163" ht="15.75" customHeight="1">
      <c r="G163" s="15"/>
      <c r="H163" s="15"/>
      <c r="I163" s="15"/>
      <c r="J163" s="15"/>
      <c r="N163" s="15"/>
    </row>
    <row r="164" ht="15.75" customHeight="1">
      <c r="G164" s="15"/>
      <c r="H164" s="15"/>
      <c r="I164" s="15"/>
      <c r="J164" s="15"/>
      <c r="N164" s="15"/>
    </row>
    <row r="165" ht="15.75" customHeight="1">
      <c r="G165" s="15"/>
      <c r="H165" s="15"/>
      <c r="I165" s="15"/>
      <c r="J165" s="15"/>
      <c r="N165" s="15"/>
    </row>
    <row r="166" ht="15.75" customHeight="1">
      <c r="G166" s="15"/>
      <c r="H166" s="15"/>
      <c r="I166" s="15"/>
      <c r="J166" s="15"/>
      <c r="N166" s="15"/>
    </row>
    <row r="167" ht="15.75" customHeight="1">
      <c r="G167" s="15"/>
      <c r="H167" s="15"/>
      <c r="I167" s="15"/>
      <c r="J167" s="15"/>
      <c r="N167" s="15"/>
    </row>
    <row r="168" ht="15.75" customHeight="1">
      <c r="G168" s="15"/>
      <c r="H168" s="15"/>
      <c r="I168" s="15"/>
      <c r="J168" s="15"/>
      <c r="N168" s="15"/>
    </row>
    <row r="169" ht="15.75" customHeight="1">
      <c r="G169" s="15"/>
      <c r="H169" s="15"/>
      <c r="I169" s="15"/>
      <c r="J169" s="15"/>
      <c r="N169" s="15"/>
    </row>
    <row r="170" ht="15.75" customHeight="1">
      <c r="G170" s="15"/>
      <c r="H170" s="15"/>
      <c r="I170" s="15"/>
      <c r="J170" s="15"/>
      <c r="N170" s="15"/>
    </row>
    <row r="171" ht="15.75" customHeight="1">
      <c r="G171" s="15"/>
      <c r="H171" s="15"/>
      <c r="I171" s="15"/>
      <c r="J171" s="15"/>
      <c r="N171" s="15"/>
    </row>
    <row r="172" ht="15.75" customHeight="1">
      <c r="G172" s="15"/>
      <c r="H172" s="15"/>
      <c r="I172" s="15"/>
      <c r="J172" s="15"/>
      <c r="N172" s="15"/>
    </row>
    <row r="173" ht="15.75" customHeight="1">
      <c r="G173" s="15"/>
      <c r="H173" s="15"/>
      <c r="I173" s="15"/>
      <c r="J173" s="15"/>
      <c r="N173" s="15"/>
    </row>
    <row r="174" ht="15.75" customHeight="1">
      <c r="G174" s="15"/>
      <c r="H174" s="15"/>
      <c r="I174" s="15"/>
      <c r="J174" s="15"/>
      <c r="N174" s="15"/>
    </row>
    <row r="175" ht="15.75" customHeight="1">
      <c r="G175" s="15"/>
      <c r="H175" s="15"/>
      <c r="I175" s="15"/>
      <c r="J175" s="15"/>
      <c r="N175" s="15"/>
    </row>
    <row r="176" ht="15.75" customHeight="1">
      <c r="G176" s="15"/>
      <c r="H176" s="15"/>
      <c r="I176" s="15"/>
      <c r="J176" s="15"/>
      <c r="N176" s="15"/>
    </row>
    <row r="177" ht="15.75" customHeight="1">
      <c r="G177" s="15"/>
      <c r="H177" s="15"/>
      <c r="I177" s="15"/>
      <c r="J177" s="15"/>
      <c r="N177" s="15"/>
    </row>
    <row r="178" ht="15.75" customHeight="1">
      <c r="G178" s="15"/>
      <c r="H178" s="15"/>
      <c r="I178" s="15"/>
      <c r="J178" s="15"/>
      <c r="N178" s="15"/>
    </row>
    <row r="179" ht="15.75" customHeight="1">
      <c r="G179" s="15"/>
      <c r="H179" s="15"/>
      <c r="I179" s="15"/>
      <c r="J179" s="15"/>
      <c r="N179" s="15"/>
    </row>
    <row r="180" ht="15.75" customHeight="1">
      <c r="G180" s="15"/>
      <c r="H180" s="15"/>
      <c r="I180" s="15"/>
      <c r="J180" s="15"/>
      <c r="N180" s="15"/>
    </row>
    <row r="181" ht="15.75" customHeight="1">
      <c r="G181" s="15"/>
      <c r="H181" s="15"/>
      <c r="I181" s="15"/>
      <c r="J181" s="15"/>
      <c r="N181" s="15"/>
    </row>
    <row r="182" ht="15.75" customHeight="1">
      <c r="G182" s="15"/>
      <c r="H182" s="15"/>
      <c r="I182" s="15"/>
      <c r="J182" s="15"/>
      <c r="N182" s="15"/>
    </row>
    <row r="183" ht="15.75" customHeight="1">
      <c r="G183" s="15"/>
      <c r="H183" s="15"/>
      <c r="I183" s="15"/>
      <c r="J183" s="15"/>
      <c r="N183" s="15"/>
    </row>
    <row r="184" ht="15.75" customHeight="1">
      <c r="G184" s="15"/>
      <c r="H184" s="15"/>
      <c r="I184" s="15"/>
      <c r="J184" s="15"/>
      <c r="N184" s="15"/>
    </row>
    <row r="185" ht="15.75" customHeight="1">
      <c r="G185" s="15"/>
      <c r="H185" s="15"/>
      <c r="I185" s="15"/>
      <c r="J185" s="15"/>
      <c r="N185" s="15"/>
    </row>
    <row r="186" ht="15.75" customHeight="1">
      <c r="G186" s="15"/>
      <c r="H186" s="15"/>
      <c r="I186" s="15"/>
      <c r="J186" s="15"/>
      <c r="N186" s="15"/>
    </row>
    <row r="187" ht="15.75" customHeight="1">
      <c r="G187" s="15"/>
      <c r="H187" s="15"/>
      <c r="I187" s="15"/>
      <c r="J187" s="15"/>
      <c r="N187" s="15"/>
    </row>
    <row r="188" ht="15.75" customHeight="1">
      <c r="G188" s="15"/>
      <c r="H188" s="15"/>
      <c r="I188" s="15"/>
      <c r="J188" s="15"/>
      <c r="N188" s="15"/>
    </row>
    <row r="189" ht="15.75" customHeight="1">
      <c r="G189" s="15"/>
      <c r="H189" s="15"/>
      <c r="I189" s="15"/>
      <c r="J189" s="15"/>
      <c r="N189" s="15"/>
    </row>
    <row r="190" ht="15.75" customHeight="1">
      <c r="G190" s="15"/>
      <c r="H190" s="15"/>
      <c r="I190" s="15"/>
      <c r="J190" s="15"/>
      <c r="N190" s="15"/>
    </row>
    <row r="191" ht="15.75" customHeight="1">
      <c r="G191" s="15"/>
      <c r="H191" s="15"/>
      <c r="I191" s="15"/>
      <c r="J191" s="15"/>
      <c r="N191" s="15"/>
    </row>
    <row r="192" ht="15.75" customHeight="1">
      <c r="G192" s="15"/>
      <c r="H192" s="15"/>
      <c r="I192" s="15"/>
      <c r="J192" s="15"/>
      <c r="N192" s="15"/>
    </row>
    <row r="193" ht="15.75" customHeight="1">
      <c r="G193" s="15"/>
      <c r="H193" s="15"/>
      <c r="I193" s="15"/>
      <c r="J193" s="15"/>
      <c r="N193" s="15"/>
    </row>
    <row r="194" ht="15.75" customHeight="1">
      <c r="G194" s="15"/>
      <c r="H194" s="15"/>
      <c r="I194" s="15"/>
      <c r="J194" s="15"/>
      <c r="N194" s="15"/>
    </row>
    <row r="195" ht="15.75" customHeight="1">
      <c r="G195" s="15"/>
      <c r="H195" s="15"/>
      <c r="I195" s="15"/>
      <c r="J195" s="15"/>
      <c r="N195" s="15"/>
    </row>
    <row r="196" ht="15.75" customHeight="1">
      <c r="G196" s="15"/>
      <c r="H196" s="15"/>
      <c r="I196" s="15"/>
      <c r="J196" s="15"/>
      <c r="N196" s="15"/>
    </row>
    <row r="197" ht="15.75" customHeight="1">
      <c r="G197" s="15"/>
      <c r="H197" s="15"/>
      <c r="I197" s="15"/>
      <c r="J197" s="15"/>
      <c r="N197" s="15"/>
    </row>
    <row r="198" ht="15.75" customHeight="1">
      <c r="G198" s="15"/>
      <c r="H198" s="15"/>
      <c r="I198" s="15"/>
      <c r="J198" s="15"/>
      <c r="N198" s="15"/>
    </row>
    <row r="199" ht="15.75" customHeight="1">
      <c r="G199" s="15"/>
      <c r="H199" s="15"/>
      <c r="I199" s="15"/>
      <c r="J199" s="15"/>
      <c r="N199" s="15"/>
    </row>
    <row r="200" ht="15.75" customHeight="1">
      <c r="G200" s="15"/>
      <c r="H200" s="15"/>
      <c r="I200" s="15"/>
      <c r="J200" s="15"/>
      <c r="N200" s="15"/>
    </row>
    <row r="201" ht="15.75" customHeight="1">
      <c r="G201" s="15"/>
      <c r="H201" s="15"/>
      <c r="I201" s="15"/>
      <c r="J201" s="15"/>
      <c r="N201" s="15"/>
    </row>
    <row r="202" ht="15.75" customHeight="1">
      <c r="G202" s="15"/>
      <c r="H202" s="15"/>
      <c r="I202" s="15"/>
      <c r="J202" s="15"/>
      <c r="N202" s="15"/>
    </row>
    <row r="203" ht="15.75" customHeight="1">
      <c r="G203" s="15"/>
      <c r="H203" s="15"/>
      <c r="I203" s="15"/>
      <c r="J203" s="15"/>
      <c r="N203" s="15"/>
    </row>
    <row r="204" ht="15.75" customHeight="1">
      <c r="G204" s="15"/>
      <c r="H204" s="15"/>
      <c r="I204" s="15"/>
      <c r="J204" s="15"/>
      <c r="N204" s="15"/>
    </row>
    <row r="205" ht="15.75" customHeight="1">
      <c r="G205" s="15"/>
      <c r="H205" s="15"/>
      <c r="I205" s="15"/>
      <c r="J205" s="15"/>
      <c r="N205" s="15"/>
    </row>
    <row r="206" ht="15.75" customHeight="1">
      <c r="G206" s="15"/>
      <c r="H206" s="15"/>
      <c r="I206" s="15"/>
      <c r="J206" s="15"/>
      <c r="N206" s="15"/>
    </row>
    <row r="207" ht="15.75" customHeight="1">
      <c r="G207" s="15"/>
      <c r="H207" s="15"/>
      <c r="I207" s="15"/>
      <c r="J207" s="15"/>
      <c r="N207" s="15"/>
    </row>
    <row r="208" ht="15.75" customHeight="1">
      <c r="G208" s="15"/>
      <c r="H208" s="15"/>
      <c r="I208" s="15"/>
      <c r="J208" s="15"/>
      <c r="N208" s="15"/>
    </row>
    <row r="209" ht="15.75" customHeight="1">
      <c r="G209" s="15"/>
      <c r="H209" s="15"/>
      <c r="I209" s="15"/>
      <c r="J209" s="15"/>
      <c r="N209" s="15"/>
    </row>
    <row r="210" ht="15.75" customHeight="1">
      <c r="G210" s="15"/>
      <c r="H210" s="15"/>
      <c r="I210" s="15"/>
      <c r="J210" s="15"/>
      <c r="N210" s="15"/>
    </row>
    <row r="211" ht="15.75" customHeight="1">
      <c r="G211" s="15"/>
      <c r="H211" s="15"/>
      <c r="I211" s="15"/>
      <c r="J211" s="15"/>
      <c r="N211" s="15"/>
    </row>
    <row r="212" ht="15.75" customHeight="1">
      <c r="G212" s="15"/>
      <c r="H212" s="15"/>
      <c r="I212" s="15"/>
      <c r="J212" s="15"/>
      <c r="N212" s="15"/>
    </row>
    <row r="213" ht="15.75" customHeight="1">
      <c r="G213" s="15"/>
      <c r="H213" s="15"/>
      <c r="I213" s="15"/>
      <c r="J213" s="15"/>
      <c r="N213" s="15"/>
    </row>
    <row r="214" ht="15.75" customHeight="1">
      <c r="G214" s="15"/>
      <c r="H214" s="15"/>
      <c r="I214" s="15"/>
      <c r="J214" s="15"/>
      <c r="N214" s="15"/>
    </row>
    <row r="215" ht="15.75" customHeight="1">
      <c r="G215" s="15"/>
      <c r="H215" s="15"/>
      <c r="I215" s="15"/>
      <c r="J215" s="15"/>
      <c r="N215" s="15"/>
    </row>
    <row r="216" ht="15.75" customHeight="1">
      <c r="G216" s="15"/>
      <c r="H216" s="15"/>
      <c r="I216" s="15"/>
      <c r="J216" s="15"/>
      <c r="N216" s="15"/>
    </row>
    <row r="217" ht="15.75" customHeight="1">
      <c r="G217" s="15"/>
      <c r="H217" s="15"/>
      <c r="I217" s="15"/>
      <c r="J217" s="15"/>
      <c r="N217" s="15"/>
    </row>
    <row r="218" ht="15.75" customHeight="1">
      <c r="G218" s="15"/>
      <c r="H218" s="15"/>
      <c r="I218" s="15"/>
      <c r="J218" s="15"/>
      <c r="N218" s="15"/>
    </row>
    <row r="219" ht="15.75" customHeight="1">
      <c r="G219" s="15"/>
      <c r="H219" s="15"/>
      <c r="I219" s="15"/>
      <c r="J219" s="15"/>
      <c r="N219" s="15"/>
    </row>
    <row r="220" ht="15.75" customHeight="1">
      <c r="G220" s="15"/>
      <c r="H220" s="15"/>
      <c r="I220" s="15"/>
      <c r="J220" s="15"/>
      <c r="N220" s="15"/>
    </row>
    <row r="221" ht="15.75" customHeight="1">
      <c r="G221" s="15"/>
      <c r="H221" s="15"/>
      <c r="I221" s="15"/>
      <c r="J221" s="15"/>
      <c r="N221" s="15"/>
    </row>
    <row r="222" ht="15.75" customHeight="1">
      <c r="G222" s="15"/>
      <c r="H222" s="15"/>
      <c r="I222" s="15"/>
      <c r="J222" s="15"/>
      <c r="N222" s="15"/>
    </row>
    <row r="223" ht="15.75" customHeight="1">
      <c r="G223" s="15"/>
      <c r="H223" s="15"/>
      <c r="I223" s="15"/>
      <c r="J223" s="15"/>
      <c r="N223" s="15"/>
    </row>
    <row r="224" ht="15.75" customHeight="1">
      <c r="G224" s="15"/>
      <c r="H224" s="15"/>
      <c r="I224" s="15"/>
      <c r="J224" s="15"/>
      <c r="N224" s="15"/>
    </row>
    <row r="225" ht="15.75" customHeight="1">
      <c r="G225" s="15"/>
      <c r="H225" s="15"/>
      <c r="I225" s="15"/>
      <c r="J225" s="15"/>
      <c r="N225" s="15"/>
    </row>
    <row r="226" ht="15.75" customHeight="1">
      <c r="G226" s="15"/>
      <c r="H226" s="15"/>
      <c r="I226" s="15"/>
      <c r="J226" s="15"/>
      <c r="N226" s="15"/>
    </row>
    <row r="227" ht="15.75" customHeight="1">
      <c r="G227" s="15"/>
      <c r="H227" s="15"/>
      <c r="I227" s="15"/>
      <c r="J227" s="15"/>
      <c r="N227" s="15"/>
    </row>
    <row r="228" ht="15.75" customHeight="1">
      <c r="G228" s="15"/>
      <c r="H228" s="15"/>
      <c r="I228" s="15"/>
      <c r="J228" s="15"/>
      <c r="N228" s="15"/>
    </row>
    <row r="229" ht="15.75" customHeight="1">
      <c r="G229" s="15"/>
      <c r="H229" s="15"/>
      <c r="I229" s="15"/>
      <c r="J229" s="15"/>
      <c r="N229" s="15"/>
    </row>
    <row r="230" ht="15.75" customHeight="1">
      <c r="G230" s="15"/>
      <c r="H230" s="15"/>
      <c r="I230" s="15"/>
      <c r="J230" s="15"/>
      <c r="N230" s="15"/>
    </row>
    <row r="231" ht="15.75" customHeight="1">
      <c r="G231" s="15"/>
      <c r="H231" s="15"/>
      <c r="I231" s="15"/>
      <c r="J231" s="15"/>
      <c r="N231" s="15"/>
    </row>
    <row r="232" ht="15.75" customHeight="1">
      <c r="G232" s="15"/>
      <c r="H232" s="15"/>
      <c r="I232" s="15"/>
      <c r="J232" s="15"/>
      <c r="N232" s="15"/>
    </row>
    <row r="233" ht="15.75" customHeight="1">
      <c r="G233" s="15"/>
      <c r="H233" s="15"/>
      <c r="I233" s="15"/>
      <c r="J233" s="15"/>
      <c r="N233" s="15"/>
    </row>
    <row r="234" ht="15.75" customHeight="1">
      <c r="G234" s="15"/>
      <c r="H234" s="15"/>
      <c r="I234" s="15"/>
      <c r="J234" s="15"/>
      <c r="N234" s="15"/>
    </row>
    <row r="235" ht="15.75" customHeight="1">
      <c r="G235" s="15"/>
      <c r="H235" s="15"/>
      <c r="I235" s="15"/>
      <c r="J235" s="15"/>
      <c r="N235" s="15"/>
    </row>
    <row r="236" ht="15.75" customHeight="1">
      <c r="G236" s="15"/>
      <c r="H236" s="15"/>
      <c r="I236" s="15"/>
      <c r="J236" s="15"/>
      <c r="N236" s="15"/>
    </row>
    <row r="237" ht="15.75" customHeight="1">
      <c r="G237" s="15"/>
      <c r="H237" s="15"/>
      <c r="I237" s="15"/>
      <c r="J237" s="15"/>
      <c r="N237" s="15"/>
    </row>
    <row r="238" ht="15.75" customHeight="1">
      <c r="G238" s="15"/>
      <c r="H238" s="15"/>
      <c r="I238" s="15"/>
      <c r="J238" s="15"/>
      <c r="N238" s="15"/>
    </row>
    <row r="239" ht="15.75" customHeight="1">
      <c r="G239" s="15"/>
      <c r="H239" s="15"/>
      <c r="I239" s="15"/>
      <c r="J239" s="15"/>
      <c r="N239" s="15"/>
    </row>
    <row r="240" ht="15.75" customHeight="1">
      <c r="G240" s="15"/>
      <c r="H240" s="15"/>
      <c r="I240" s="15"/>
      <c r="J240" s="15"/>
      <c r="N240" s="15"/>
    </row>
    <row r="241" ht="15.75" customHeight="1">
      <c r="G241" s="15"/>
      <c r="H241" s="15"/>
      <c r="I241" s="15"/>
      <c r="J241" s="15"/>
      <c r="N241" s="15"/>
    </row>
    <row r="242" ht="15.75" customHeight="1">
      <c r="G242" s="15"/>
      <c r="H242" s="15"/>
      <c r="I242" s="15"/>
      <c r="J242" s="15"/>
      <c r="N242" s="15"/>
    </row>
    <row r="243" ht="15.75" customHeight="1">
      <c r="G243" s="15"/>
      <c r="H243" s="15"/>
      <c r="I243" s="15"/>
      <c r="J243" s="15"/>
      <c r="N243" s="15"/>
    </row>
    <row r="244" ht="15.75" customHeight="1">
      <c r="G244" s="15"/>
      <c r="H244" s="15"/>
      <c r="I244" s="15"/>
      <c r="J244" s="15"/>
      <c r="N244" s="1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44"/>
  <dataValidations>
    <dataValidation type="list" allowBlank="1" sqref="G5:I244">
      <formula1>Lists!$D$2:$D$4</formula1>
    </dataValidation>
    <dataValidation type="list" allowBlank="1" sqref="J5:J244 N5:N244">
      <formula1>Lists!$E$2:$E$3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9.0"/>
    <col customWidth="1" min="4" max="4" width="11.0"/>
    <col customWidth="1" min="5" max="5" width="46.0"/>
    <col customWidth="1" min="6" max="6" width="28.0"/>
    <col customWidth="1" min="7" max="7" width="18.0"/>
    <col customWidth="1" min="8" max="8" width="12.0"/>
    <col customWidth="1" min="9" max="9" width="40.0"/>
    <col customWidth="1" min="10" max="10" width="7.0"/>
    <col customWidth="1" min="11" max="11" width="26.0"/>
    <col customWidth="1" min="12" max="14" width="10.0"/>
    <col customWidth="1" min="15" max="15" width="8.0"/>
    <col customWidth="1" min="16" max="26" width="8.71"/>
  </cols>
  <sheetData>
    <row r="1">
      <c r="A1" s="1" t="s">
        <v>345</v>
      </c>
    </row>
    <row r="2">
      <c r="A2" s="3" t="s">
        <v>346</v>
      </c>
    </row>
    <row r="4">
      <c r="A4" s="5" t="s">
        <v>6</v>
      </c>
      <c r="B4" s="5" t="s">
        <v>347</v>
      </c>
      <c r="C4" s="5" t="s">
        <v>348</v>
      </c>
      <c r="D4" s="5" t="s">
        <v>349</v>
      </c>
      <c r="E4" s="5" t="s">
        <v>350</v>
      </c>
      <c r="F4" s="5" t="s">
        <v>351</v>
      </c>
      <c r="G4" s="5" t="s">
        <v>352</v>
      </c>
      <c r="H4" s="5" t="s">
        <v>353</v>
      </c>
      <c r="I4" s="5" t="s">
        <v>354</v>
      </c>
      <c r="J4" s="5" t="s">
        <v>143</v>
      </c>
      <c r="K4" s="5" t="s">
        <v>144</v>
      </c>
      <c r="L4" s="5" t="s">
        <v>355</v>
      </c>
      <c r="M4" s="5" t="s">
        <v>356</v>
      </c>
      <c r="N4" s="5" t="s">
        <v>357</v>
      </c>
      <c r="O4" s="5" t="s">
        <v>40</v>
      </c>
    </row>
    <row r="5">
      <c r="A5" s="7">
        <v>1.0</v>
      </c>
      <c r="B5" s="8" t="s">
        <v>360</v>
      </c>
      <c r="C5" s="7" t="s">
        <v>362</v>
      </c>
      <c r="D5" s="7" t="s">
        <v>370</v>
      </c>
      <c r="E5" s="10" t="s">
        <v>371</v>
      </c>
      <c r="F5" s="10" t="s">
        <v>372</v>
      </c>
      <c r="G5" s="8" t="s">
        <v>373</v>
      </c>
      <c r="H5" s="13" t="s">
        <v>41</v>
      </c>
      <c r="I5" s="10" t="s">
        <v>374</v>
      </c>
      <c r="J5" s="7">
        <v>3.0</v>
      </c>
      <c r="K5" s="10" t="s">
        <v>375</v>
      </c>
      <c r="L5" s="7" t="s">
        <v>376</v>
      </c>
      <c r="M5" s="7" t="s">
        <v>377</v>
      </c>
      <c r="N5" s="7" t="s">
        <v>378</v>
      </c>
      <c r="O5" s="13" t="s">
        <v>41</v>
      </c>
    </row>
    <row r="6">
      <c r="A6" s="7">
        <v>2.0</v>
      </c>
      <c r="B6" s="8" t="s">
        <v>360</v>
      </c>
      <c r="C6" s="7" t="s">
        <v>379</v>
      </c>
      <c r="D6" s="7" t="s">
        <v>370</v>
      </c>
      <c r="E6" s="10" t="s">
        <v>380</v>
      </c>
      <c r="F6" s="10" t="s">
        <v>381</v>
      </c>
      <c r="G6" s="8" t="s">
        <v>382</v>
      </c>
      <c r="H6" s="13" t="s">
        <v>41</v>
      </c>
      <c r="I6" s="10"/>
      <c r="J6" s="7">
        <v>1.0</v>
      </c>
      <c r="K6" s="10" t="s">
        <v>167</v>
      </c>
      <c r="L6" s="7" t="s">
        <v>169</v>
      </c>
      <c r="M6" s="7" t="s">
        <v>383</v>
      </c>
      <c r="N6" s="7" t="s">
        <v>384</v>
      </c>
      <c r="O6" s="13" t="s">
        <v>41</v>
      </c>
    </row>
    <row r="7">
      <c r="A7" s="7">
        <v>3.0</v>
      </c>
      <c r="B7" s="8" t="s">
        <v>360</v>
      </c>
      <c r="C7" s="7" t="s">
        <v>385</v>
      </c>
      <c r="D7" s="7" t="s">
        <v>370</v>
      </c>
      <c r="E7" s="10" t="s">
        <v>386</v>
      </c>
      <c r="F7" s="10" t="s">
        <v>381</v>
      </c>
      <c r="G7" s="8" t="s">
        <v>382</v>
      </c>
      <c r="H7" s="13" t="s">
        <v>41</v>
      </c>
      <c r="I7" s="10" t="s">
        <v>387</v>
      </c>
      <c r="J7" s="7">
        <v>2.0</v>
      </c>
      <c r="K7" s="10" t="s">
        <v>282</v>
      </c>
      <c r="L7" s="7" t="s">
        <v>283</v>
      </c>
      <c r="M7" s="7" t="s">
        <v>390</v>
      </c>
      <c r="N7" s="7" t="s">
        <v>392</v>
      </c>
      <c r="O7" s="13" t="s">
        <v>41</v>
      </c>
    </row>
    <row r="8">
      <c r="A8" s="7">
        <v>4.0</v>
      </c>
      <c r="B8" s="8" t="s">
        <v>360</v>
      </c>
      <c r="C8" s="7" t="s">
        <v>393</v>
      </c>
      <c r="D8" s="7" t="s">
        <v>370</v>
      </c>
      <c r="E8" s="10" t="s">
        <v>394</v>
      </c>
      <c r="F8" s="10" t="s">
        <v>395</v>
      </c>
      <c r="G8" s="8" t="s">
        <v>382</v>
      </c>
      <c r="H8" s="13" t="s">
        <v>41</v>
      </c>
      <c r="I8" s="10"/>
      <c r="J8" s="7">
        <v>1.0</v>
      </c>
      <c r="K8" s="10" t="s">
        <v>167</v>
      </c>
      <c r="L8" s="7" t="s">
        <v>169</v>
      </c>
      <c r="M8" s="7" t="s">
        <v>383</v>
      </c>
      <c r="N8" s="7" t="s">
        <v>384</v>
      </c>
      <c r="O8" s="13" t="s">
        <v>41</v>
      </c>
    </row>
    <row r="9">
      <c r="A9" s="7">
        <v>5.0</v>
      </c>
      <c r="B9" s="8" t="s">
        <v>360</v>
      </c>
      <c r="C9" s="7" t="s">
        <v>255</v>
      </c>
      <c r="D9" s="7" t="s">
        <v>370</v>
      </c>
      <c r="E9" s="10" t="s">
        <v>398</v>
      </c>
      <c r="F9" s="10" t="s">
        <v>400</v>
      </c>
      <c r="G9" s="8" t="s">
        <v>382</v>
      </c>
      <c r="H9" s="13" t="s">
        <v>41</v>
      </c>
      <c r="I9" s="10"/>
      <c r="J9" s="7">
        <v>1.0</v>
      </c>
      <c r="K9" s="10" t="s">
        <v>167</v>
      </c>
      <c r="L9" s="7" t="s">
        <v>250</v>
      </c>
      <c r="M9" s="7" t="s">
        <v>403</v>
      </c>
      <c r="N9" s="7" t="s">
        <v>404</v>
      </c>
      <c r="O9" s="13" t="s">
        <v>41</v>
      </c>
    </row>
    <row r="10">
      <c r="A10" s="7">
        <v>6.0</v>
      </c>
      <c r="B10" s="8" t="s">
        <v>360</v>
      </c>
      <c r="C10" s="7" t="s">
        <v>405</v>
      </c>
      <c r="D10" s="7" t="s">
        <v>370</v>
      </c>
      <c r="E10" s="10" t="s">
        <v>406</v>
      </c>
      <c r="F10" s="10" t="s">
        <v>407</v>
      </c>
      <c r="G10" s="8" t="s">
        <v>408</v>
      </c>
      <c r="H10" s="13" t="s">
        <v>41</v>
      </c>
      <c r="I10" s="10"/>
      <c r="J10" s="7">
        <v>1.0</v>
      </c>
      <c r="K10" s="10" t="s">
        <v>167</v>
      </c>
      <c r="L10" s="7" t="s">
        <v>259</v>
      </c>
      <c r="M10" s="7" t="s">
        <v>409</v>
      </c>
      <c r="N10" s="7" t="s">
        <v>410</v>
      </c>
      <c r="O10" s="13" t="s">
        <v>41</v>
      </c>
    </row>
    <row r="11">
      <c r="A11" s="7">
        <v>7.0</v>
      </c>
      <c r="B11" s="8" t="s">
        <v>360</v>
      </c>
      <c r="C11" s="7" t="s">
        <v>413</v>
      </c>
      <c r="D11" s="7" t="s">
        <v>370</v>
      </c>
      <c r="E11" s="10" t="s">
        <v>417</v>
      </c>
      <c r="F11" s="10" t="s">
        <v>280</v>
      </c>
      <c r="G11" s="8" t="s">
        <v>419</v>
      </c>
      <c r="H11" s="13" t="s">
        <v>41</v>
      </c>
      <c r="I11" s="10" t="s">
        <v>420</v>
      </c>
      <c r="J11" s="7">
        <v>4.0</v>
      </c>
      <c r="K11" s="10" t="s">
        <v>421</v>
      </c>
      <c r="L11" s="7" t="s">
        <v>422</v>
      </c>
      <c r="M11" s="7" t="s">
        <v>423</v>
      </c>
      <c r="N11" s="7" t="s">
        <v>424</v>
      </c>
      <c r="O11" s="13" t="s">
        <v>41</v>
      </c>
    </row>
    <row r="12">
      <c r="A12" s="7">
        <v>8.0</v>
      </c>
      <c r="B12" s="8" t="s">
        <v>360</v>
      </c>
      <c r="C12" s="7" t="s">
        <v>428</v>
      </c>
      <c r="D12" s="7" t="s">
        <v>370</v>
      </c>
      <c r="E12" s="10" t="s">
        <v>430</v>
      </c>
      <c r="F12" s="10" t="s">
        <v>407</v>
      </c>
      <c r="G12" s="8" t="s">
        <v>432</v>
      </c>
      <c r="H12" s="13" t="s">
        <v>41</v>
      </c>
      <c r="I12" s="10" t="s">
        <v>433</v>
      </c>
      <c r="J12" s="7">
        <v>2.0</v>
      </c>
      <c r="K12" s="10" t="s">
        <v>282</v>
      </c>
      <c r="L12" s="7" t="s">
        <v>283</v>
      </c>
      <c r="M12" s="7" t="s">
        <v>390</v>
      </c>
      <c r="N12" s="7" t="s">
        <v>392</v>
      </c>
      <c r="O12" s="13" t="s">
        <v>41</v>
      </c>
    </row>
    <row r="13">
      <c r="A13" s="7">
        <v>9.0</v>
      </c>
      <c r="B13" s="8" t="s">
        <v>360</v>
      </c>
      <c r="C13" s="7" t="s">
        <v>437</v>
      </c>
      <c r="D13" s="7" t="s">
        <v>370</v>
      </c>
      <c r="E13" s="10" t="s">
        <v>439</v>
      </c>
      <c r="F13" s="10" t="s">
        <v>440</v>
      </c>
      <c r="G13" s="8" t="s">
        <v>441</v>
      </c>
      <c r="H13" s="13" t="s">
        <v>442</v>
      </c>
      <c r="I13" s="10" t="s">
        <v>443</v>
      </c>
      <c r="J13" s="7">
        <v>2.0</v>
      </c>
      <c r="K13" s="10" t="s">
        <v>282</v>
      </c>
      <c r="L13" s="7" t="s">
        <v>283</v>
      </c>
      <c r="M13" s="7" t="s">
        <v>390</v>
      </c>
      <c r="N13" s="7" t="s">
        <v>392</v>
      </c>
      <c r="O13" s="13" t="s">
        <v>41</v>
      </c>
    </row>
    <row r="14">
      <c r="A14" s="7">
        <v>10.0</v>
      </c>
      <c r="B14" s="8" t="s">
        <v>360</v>
      </c>
      <c r="C14" s="7" t="s">
        <v>448</v>
      </c>
      <c r="D14" s="7" t="s">
        <v>370</v>
      </c>
      <c r="E14" s="10" t="s">
        <v>450</v>
      </c>
      <c r="F14" s="10" t="s">
        <v>451</v>
      </c>
      <c r="G14" s="8" t="s">
        <v>441</v>
      </c>
      <c r="H14" s="13" t="s">
        <v>442</v>
      </c>
      <c r="I14" s="10" t="s">
        <v>452</v>
      </c>
      <c r="J14" s="7">
        <v>3.0</v>
      </c>
      <c r="K14" s="10" t="s">
        <v>375</v>
      </c>
      <c r="L14" s="7" t="s">
        <v>444</v>
      </c>
      <c r="M14" s="7" t="s">
        <v>454</v>
      </c>
      <c r="N14" s="7" t="s">
        <v>456</v>
      </c>
      <c r="O14" s="13" t="s">
        <v>41</v>
      </c>
    </row>
    <row r="15">
      <c r="A15" s="7">
        <v>11.0</v>
      </c>
      <c r="B15" s="8" t="s">
        <v>360</v>
      </c>
      <c r="C15" s="7" t="s">
        <v>459</v>
      </c>
      <c r="D15" s="7" t="s">
        <v>370</v>
      </c>
      <c r="E15" s="10" t="s">
        <v>461</v>
      </c>
      <c r="F15" s="10" t="s">
        <v>462</v>
      </c>
      <c r="G15" s="8" t="s">
        <v>441</v>
      </c>
      <c r="H15" s="13" t="s">
        <v>442</v>
      </c>
      <c r="I15" s="10" t="s">
        <v>463</v>
      </c>
      <c r="J15" s="7">
        <v>5.0</v>
      </c>
      <c r="K15" s="10" t="s">
        <v>464</v>
      </c>
      <c r="L15" s="7" t="s">
        <v>465</v>
      </c>
      <c r="M15" s="7" t="s">
        <v>466</v>
      </c>
      <c r="N15" s="7" t="s">
        <v>467</v>
      </c>
      <c r="O15" s="13" t="s">
        <v>41</v>
      </c>
    </row>
    <row r="16">
      <c r="A16" s="7">
        <v>12.0</v>
      </c>
      <c r="B16" s="8" t="s">
        <v>360</v>
      </c>
      <c r="C16" s="7" t="s">
        <v>472</v>
      </c>
      <c r="D16" s="7" t="s">
        <v>370</v>
      </c>
      <c r="E16" s="10" t="s">
        <v>474</v>
      </c>
      <c r="F16" s="10" t="s">
        <v>475</v>
      </c>
      <c r="G16" s="8" t="s">
        <v>441</v>
      </c>
      <c r="H16" s="13" t="s">
        <v>41</v>
      </c>
      <c r="I16" s="10"/>
      <c r="J16" s="7">
        <v>3.0</v>
      </c>
      <c r="K16" s="10" t="s">
        <v>375</v>
      </c>
      <c r="L16" s="7" t="s">
        <v>376</v>
      </c>
      <c r="M16" s="7" t="s">
        <v>377</v>
      </c>
      <c r="N16" s="7" t="s">
        <v>378</v>
      </c>
      <c r="O16" s="13" t="s">
        <v>41</v>
      </c>
    </row>
    <row r="17">
      <c r="A17" s="7">
        <v>13.0</v>
      </c>
      <c r="B17" s="8" t="s">
        <v>360</v>
      </c>
      <c r="C17" s="7" t="s">
        <v>480</v>
      </c>
      <c r="D17" s="7" t="s">
        <v>370</v>
      </c>
      <c r="E17" s="10" t="s">
        <v>481</v>
      </c>
      <c r="F17" s="10" t="s">
        <v>407</v>
      </c>
      <c r="G17" s="8" t="s">
        <v>408</v>
      </c>
      <c r="H17" s="13" t="s">
        <v>41</v>
      </c>
      <c r="I17" s="10"/>
      <c r="J17" s="7">
        <v>3.0</v>
      </c>
      <c r="K17" s="10" t="s">
        <v>375</v>
      </c>
      <c r="L17" s="7" t="s">
        <v>376</v>
      </c>
      <c r="M17" s="7" t="s">
        <v>377</v>
      </c>
      <c r="N17" s="7" t="s">
        <v>378</v>
      </c>
      <c r="O17" s="13" t="s">
        <v>41</v>
      </c>
    </row>
    <row r="18">
      <c r="A18" s="7">
        <v>14.0</v>
      </c>
      <c r="B18" s="8" t="s">
        <v>360</v>
      </c>
      <c r="C18" s="7" t="s">
        <v>487</v>
      </c>
      <c r="D18" s="7" t="s">
        <v>370</v>
      </c>
      <c r="E18" s="10" t="s">
        <v>489</v>
      </c>
      <c r="F18" s="10" t="s">
        <v>253</v>
      </c>
      <c r="G18" s="8" t="s">
        <v>490</v>
      </c>
      <c r="H18" s="13" t="s">
        <v>442</v>
      </c>
      <c r="I18" s="10" t="s">
        <v>491</v>
      </c>
      <c r="J18" s="7">
        <v>3.0</v>
      </c>
      <c r="K18" s="10" t="s">
        <v>375</v>
      </c>
      <c r="L18" s="7" t="s">
        <v>376</v>
      </c>
      <c r="M18" s="7" t="s">
        <v>377</v>
      </c>
      <c r="N18" s="7" t="s">
        <v>378</v>
      </c>
      <c r="O18" s="13" t="s">
        <v>41</v>
      </c>
    </row>
    <row r="19">
      <c r="A19" s="7">
        <v>15.0</v>
      </c>
      <c r="B19" s="8" t="s">
        <v>360</v>
      </c>
      <c r="C19" s="7" t="s">
        <v>460</v>
      </c>
      <c r="D19" s="7" t="s">
        <v>370</v>
      </c>
      <c r="E19" s="10" t="s">
        <v>497</v>
      </c>
      <c r="F19" s="10" t="s">
        <v>407</v>
      </c>
      <c r="G19" s="8" t="s">
        <v>498</v>
      </c>
      <c r="H19" s="13" t="s">
        <v>41</v>
      </c>
      <c r="I19" s="10"/>
      <c r="J19" s="7">
        <v>3.0</v>
      </c>
      <c r="K19" s="10" t="s">
        <v>375</v>
      </c>
      <c r="L19" s="7" t="s">
        <v>453</v>
      </c>
      <c r="M19" s="7" t="s">
        <v>512</v>
      </c>
      <c r="N19" s="7" t="s">
        <v>514</v>
      </c>
      <c r="O19" s="13" t="s">
        <v>41</v>
      </c>
    </row>
    <row r="20">
      <c r="A20" s="7">
        <v>16.0</v>
      </c>
      <c r="B20" s="8" t="s">
        <v>360</v>
      </c>
      <c r="C20" s="7" t="s">
        <v>473</v>
      </c>
      <c r="D20" s="7" t="s">
        <v>370</v>
      </c>
      <c r="E20" s="10" t="s">
        <v>521</v>
      </c>
      <c r="F20" s="10" t="s">
        <v>523</v>
      </c>
      <c r="G20" s="8" t="s">
        <v>441</v>
      </c>
      <c r="H20" s="13" t="s">
        <v>41</v>
      </c>
      <c r="I20" s="10" t="s">
        <v>527</v>
      </c>
      <c r="J20" s="7">
        <v>3.0</v>
      </c>
      <c r="K20" s="10" t="s">
        <v>375</v>
      </c>
      <c r="L20" s="7" t="s">
        <v>468</v>
      </c>
      <c r="M20" s="7" t="s">
        <v>530</v>
      </c>
      <c r="N20" s="7" t="s">
        <v>532</v>
      </c>
      <c r="O20" s="13" t="s">
        <v>41</v>
      </c>
    </row>
    <row r="21" ht="15.75" customHeight="1">
      <c r="A21" s="7">
        <v>17.0</v>
      </c>
      <c r="B21" s="8" t="s">
        <v>361</v>
      </c>
      <c r="C21" s="7" t="s">
        <v>536</v>
      </c>
      <c r="D21" s="7" t="s">
        <v>370</v>
      </c>
      <c r="E21" s="10" t="s">
        <v>537</v>
      </c>
      <c r="F21" s="10" t="s">
        <v>372</v>
      </c>
      <c r="G21" s="8" t="s">
        <v>373</v>
      </c>
      <c r="H21" s="13" t="s">
        <v>41</v>
      </c>
      <c r="I21" s="10"/>
      <c r="J21" s="7">
        <v>6.0</v>
      </c>
      <c r="K21" s="10" t="s">
        <v>538</v>
      </c>
      <c r="L21" s="7" t="s">
        <v>543</v>
      </c>
      <c r="M21" s="7" t="s">
        <v>544</v>
      </c>
      <c r="N21" s="7" t="s">
        <v>545</v>
      </c>
      <c r="O21" s="13" t="s">
        <v>41</v>
      </c>
    </row>
    <row r="22" ht="15.75" customHeight="1">
      <c r="A22" s="7">
        <v>18.0</v>
      </c>
      <c r="B22" s="8" t="s">
        <v>361</v>
      </c>
      <c r="C22" s="7" t="s">
        <v>546</v>
      </c>
      <c r="D22" s="7" t="s">
        <v>370</v>
      </c>
      <c r="E22" s="10" t="s">
        <v>550</v>
      </c>
      <c r="F22" s="10" t="s">
        <v>407</v>
      </c>
      <c r="G22" s="8" t="s">
        <v>408</v>
      </c>
      <c r="H22" s="13" t="s">
        <v>41</v>
      </c>
      <c r="I22" s="10"/>
      <c r="J22" s="7">
        <v>6.0</v>
      </c>
      <c r="K22" s="10" t="s">
        <v>538</v>
      </c>
      <c r="L22" s="7" t="s">
        <v>543</v>
      </c>
      <c r="M22" s="7" t="s">
        <v>544</v>
      </c>
      <c r="N22" s="7" t="s">
        <v>545</v>
      </c>
      <c r="O22" s="13" t="s">
        <v>41</v>
      </c>
    </row>
    <row r="23" ht="15.75" customHeight="1">
      <c r="A23" s="7">
        <v>19.0</v>
      </c>
      <c r="B23" s="8" t="s">
        <v>361</v>
      </c>
      <c r="C23" s="7" t="s">
        <v>556</v>
      </c>
      <c r="D23" s="7" t="s">
        <v>370</v>
      </c>
      <c r="E23" s="10" t="s">
        <v>558</v>
      </c>
      <c r="F23" s="10" t="s">
        <v>559</v>
      </c>
      <c r="G23" s="8" t="s">
        <v>382</v>
      </c>
      <c r="H23" s="13" t="s">
        <v>41</v>
      </c>
      <c r="I23" s="10"/>
      <c r="J23" s="7">
        <v>6.0</v>
      </c>
      <c r="K23" s="10" t="s">
        <v>538</v>
      </c>
      <c r="L23" s="7" t="s">
        <v>543</v>
      </c>
      <c r="M23" s="7" t="s">
        <v>544</v>
      </c>
      <c r="N23" s="7" t="s">
        <v>545</v>
      </c>
      <c r="O23" s="13" t="s">
        <v>41</v>
      </c>
    </row>
    <row r="24" ht="15.75" customHeight="1">
      <c r="A24" s="7">
        <v>20.0</v>
      </c>
      <c r="B24" s="8" t="s">
        <v>361</v>
      </c>
      <c r="C24" s="7" t="s">
        <v>565</v>
      </c>
      <c r="D24" s="7" t="s">
        <v>370</v>
      </c>
      <c r="E24" s="10" t="s">
        <v>566</v>
      </c>
      <c r="F24" s="10" t="s">
        <v>567</v>
      </c>
      <c r="G24" s="8" t="s">
        <v>441</v>
      </c>
      <c r="H24" s="13" t="s">
        <v>41</v>
      </c>
      <c r="I24" s="10" t="s">
        <v>570</v>
      </c>
      <c r="J24" s="7">
        <v>1.0</v>
      </c>
      <c r="K24" s="10" t="s">
        <v>167</v>
      </c>
      <c r="L24" s="7" t="s">
        <v>259</v>
      </c>
      <c r="M24" s="7" t="s">
        <v>409</v>
      </c>
      <c r="N24" s="7" t="s">
        <v>410</v>
      </c>
      <c r="O24" s="13" t="s">
        <v>41</v>
      </c>
    </row>
    <row r="25" ht="15.75" customHeight="1">
      <c r="A25" s="7">
        <v>21.0</v>
      </c>
      <c r="B25" s="8" t="s">
        <v>361</v>
      </c>
      <c r="C25" s="7" t="s">
        <v>573</v>
      </c>
      <c r="D25" s="7" t="s">
        <v>370</v>
      </c>
      <c r="E25" s="10" t="s">
        <v>575</v>
      </c>
      <c r="F25" s="10" t="s">
        <v>577</v>
      </c>
      <c r="G25" s="8" t="s">
        <v>579</v>
      </c>
      <c r="H25" s="13" t="s">
        <v>41</v>
      </c>
      <c r="I25" s="10"/>
      <c r="J25" s="7">
        <v>6.0</v>
      </c>
      <c r="K25" s="10" t="s">
        <v>538</v>
      </c>
      <c r="L25" s="7" t="s">
        <v>543</v>
      </c>
      <c r="M25" s="7" t="s">
        <v>544</v>
      </c>
      <c r="N25" s="7" t="s">
        <v>545</v>
      </c>
      <c r="O25" s="13" t="s">
        <v>41</v>
      </c>
    </row>
    <row r="26" ht="15.75" customHeight="1">
      <c r="A26" s="7">
        <v>22.0</v>
      </c>
      <c r="B26" s="8" t="s">
        <v>361</v>
      </c>
      <c r="C26" s="7" t="s">
        <v>488</v>
      </c>
      <c r="D26" s="7" t="s">
        <v>370</v>
      </c>
      <c r="E26" s="10" t="s">
        <v>586</v>
      </c>
      <c r="F26" s="10" t="s">
        <v>280</v>
      </c>
      <c r="G26" s="8" t="s">
        <v>587</v>
      </c>
      <c r="H26" s="13" t="s">
        <v>41</v>
      </c>
      <c r="I26" s="10"/>
      <c r="J26" s="7">
        <v>4.0</v>
      </c>
      <c r="K26" s="10" t="s">
        <v>421</v>
      </c>
      <c r="L26" s="7" t="s">
        <v>482</v>
      </c>
      <c r="M26" s="7" t="s">
        <v>588</v>
      </c>
      <c r="N26" s="7" t="s">
        <v>590</v>
      </c>
      <c r="O26" s="13" t="s">
        <v>41</v>
      </c>
    </row>
    <row r="27" ht="15.75" customHeight="1">
      <c r="A27" s="7">
        <v>23.0</v>
      </c>
      <c r="B27" s="8" t="s">
        <v>361</v>
      </c>
      <c r="C27" s="7" t="s">
        <v>596</v>
      </c>
      <c r="D27" s="7" t="s">
        <v>370</v>
      </c>
      <c r="E27" s="10" t="s">
        <v>597</v>
      </c>
      <c r="F27" s="10" t="s">
        <v>598</v>
      </c>
      <c r="G27" s="8" t="s">
        <v>587</v>
      </c>
      <c r="H27" s="13" t="s">
        <v>41</v>
      </c>
      <c r="I27" s="10" t="s">
        <v>600</v>
      </c>
      <c r="J27" s="7">
        <v>4.0</v>
      </c>
      <c r="K27" s="10" t="s">
        <v>421</v>
      </c>
      <c r="L27" s="7" t="s">
        <v>422</v>
      </c>
      <c r="M27" s="7" t="s">
        <v>423</v>
      </c>
      <c r="N27" s="7" t="s">
        <v>424</v>
      </c>
      <c r="O27" s="13" t="s">
        <v>41</v>
      </c>
    </row>
    <row r="28" ht="15.75" customHeight="1">
      <c r="A28" s="7">
        <v>24.0</v>
      </c>
      <c r="B28" s="8" t="s">
        <v>361</v>
      </c>
      <c r="C28" s="7" t="s">
        <v>605</v>
      </c>
      <c r="D28" s="7" t="s">
        <v>370</v>
      </c>
      <c r="E28" s="10" t="s">
        <v>606</v>
      </c>
      <c r="F28" s="10" t="s">
        <v>608</v>
      </c>
      <c r="G28" s="8" t="s">
        <v>419</v>
      </c>
      <c r="H28" s="13" t="s">
        <v>41</v>
      </c>
      <c r="I28" s="10"/>
      <c r="J28" s="7">
        <v>4.0</v>
      </c>
      <c r="K28" s="10" t="s">
        <v>421</v>
      </c>
      <c r="L28" s="7" t="s">
        <v>422</v>
      </c>
      <c r="M28" s="7" t="s">
        <v>423</v>
      </c>
      <c r="N28" s="7" t="s">
        <v>424</v>
      </c>
      <c r="O28" s="13" t="s">
        <v>41</v>
      </c>
    </row>
    <row r="29" ht="15.75" customHeight="1">
      <c r="A29" s="7">
        <v>25.0</v>
      </c>
      <c r="B29" s="8" t="s">
        <v>361</v>
      </c>
      <c r="C29" s="7" t="s">
        <v>613</v>
      </c>
      <c r="D29" s="7" t="s">
        <v>370</v>
      </c>
      <c r="E29" s="10" t="s">
        <v>617</v>
      </c>
      <c r="F29" s="10" t="s">
        <v>618</v>
      </c>
      <c r="G29" s="8" t="s">
        <v>441</v>
      </c>
      <c r="H29" s="13" t="s">
        <v>41</v>
      </c>
      <c r="I29" s="10" t="s">
        <v>621</v>
      </c>
      <c r="J29" s="7">
        <v>5.0</v>
      </c>
      <c r="K29" s="10" t="s">
        <v>464</v>
      </c>
      <c r="L29" s="7" t="s">
        <v>528</v>
      </c>
      <c r="M29" s="7" t="s">
        <v>622</v>
      </c>
      <c r="N29" s="7" t="s">
        <v>623</v>
      </c>
      <c r="O29" s="13" t="s">
        <v>41</v>
      </c>
    </row>
    <row r="30" ht="15.75" customHeight="1">
      <c r="A30" s="7">
        <v>26.0</v>
      </c>
      <c r="B30" s="8" t="s">
        <v>361</v>
      </c>
      <c r="C30" s="7" t="s">
        <v>629</v>
      </c>
      <c r="D30" s="7" t="s">
        <v>370</v>
      </c>
      <c r="E30" s="10" t="s">
        <v>630</v>
      </c>
      <c r="F30" s="10" t="s">
        <v>475</v>
      </c>
      <c r="G30" s="8" t="s">
        <v>441</v>
      </c>
      <c r="H30" s="13" t="s">
        <v>41</v>
      </c>
      <c r="I30" s="10"/>
      <c r="J30" s="7">
        <v>6.0</v>
      </c>
      <c r="K30" s="10" t="s">
        <v>538</v>
      </c>
      <c r="L30" s="7" t="s">
        <v>543</v>
      </c>
      <c r="M30" s="7" t="s">
        <v>544</v>
      </c>
      <c r="N30" s="7" t="s">
        <v>545</v>
      </c>
      <c r="O30" s="13" t="s">
        <v>41</v>
      </c>
    </row>
    <row r="31" ht="15.75" customHeight="1">
      <c r="A31" s="7">
        <v>27.0</v>
      </c>
      <c r="B31" s="8" t="s">
        <v>361</v>
      </c>
      <c r="C31" s="7" t="s">
        <v>509</v>
      </c>
      <c r="D31" s="7" t="s">
        <v>370</v>
      </c>
      <c r="E31" s="10" t="s">
        <v>635</v>
      </c>
      <c r="F31" s="10" t="s">
        <v>636</v>
      </c>
      <c r="G31" s="8" t="s">
        <v>441</v>
      </c>
      <c r="H31" s="13" t="s">
        <v>442</v>
      </c>
      <c r="I31" s="10" t="s">
        <v>640</v>
      </c>
      <c r="J31" s="7">
        <v>5.0</v>
      </c>
      <c r="K31" s="10" t="s">
        <v>464</v>
      </c>
      <c r="L31" s="7" t="s">
        <v>504</v>
      </c>
      <c r="M31" s="7" t="s">
        <v>641</v>
      </c>
      <c r="N31" s="7" t="s">
        <v>642</v>
      </c>
      <c r="O31" s="13" t="s">
        <v>41</v>
      </c>
    </row>
    <row r="32" ht="15.75" customHeight="1">
      <c r="A32" s="7">
        <v>28.0</v>
      </c>
      <c r="B32" s="8" t="s">
        <v>361</v>
      </c>
      <c r="C32" s="7" t="s">
        <v>643</v>
      </c>
      <c r="D32" s="7" t="s">
        <v>370</v>
      </c>
      <c r="E32" s="10" t="s">
        <v>647</v>
      </c>
      <c r="F32" s="10" t="s">
        <v>648</v>
      </c>
      <c r="G32" s="8" t="s">
        <v>579</v>
      </c>
      <c r="H32" s="13" t="s">
        <v>41</v>
      </c>
      <c r="I32" s="10"/>
      <c r="J32" s="7">
        <v>6.0</v>
      </c>
      <c r="K32" s="10" t="s">
        <v>538</v>
      </c>
      <c r="L32" s="7" t="s">
        <v>543</v>
      </c>
      <c r="M32" s="7" t="s">
        <v>544</v>
      </c>
      <c r="N32" s="7" t="s">
        <v>545</v>
      </c>
      <c r="O32" s="13" t="s">
        <v>41</v>
      </c>
    </row>
    <row r="33" ht="15.75" customHeight="1">
      <c r="A33" s="7">
        <v>29.0</v>
      </c>
      <c r="B33" s="8" t="s">
        <v>361</v>
      </c>
      <c r="C33" s="7" t="s">
        <v>557</v>
      </c>
      <c r="D33" s="7" t="s">
        <v>370</v>
      </c>
      <c r="E33" s="10" t="s">
        <v>656</v>
      </c>
      <c r="F33" s="10" t="s">
        <v>657</v>
      </c>
      <c r="G33" s="8" t="s">
        <v>498</v>
      </c>
      <c r="H33" s="13" t="s">
        <v>41</v>
      </c>
      <c r="I33" s="10"/>
      <c r="J33" s="7">
        <v>6.0</v>
      </c>
      <c r="K33" s="10" t="s">
        <v>538</v>
      </c>
      <c r="L33" s="7" t="s">
        <v>553</v>
      </c>
      <c r="M33" s="7" t="s">
        <v>658</v>
      </c>
      <c r="N33" s="7" t="s">
        <v>659</v>
      </c>
      <c r="O33" s="13" t="s">
        <v>41</v>
      </c>
    </row>
    <row r="34" ht="15.75" customHeight="1">
      <c r="A34" s="7">
        <v>30.0</v>
      </c>
      <c r="B34" s="8" t="s">
        <v>361</v>
      </c>
      <c r="C34" s="7" t="s">
        <v>581</v>
      </c>
      <c r="D34" s="7" t="s">
        <v>370</v>
      </c>
      <c r="E34" s="10" t="s">
        <v>665</v>
      </c>
      <c r="F34" s="10" t="s">
        <v>608</v>
      </c>
      <c r="G34" s="8" t="s">
        <v>419</v>
      </c>
      <c r="H34" s="13" t="s">
        <v>442</v>
      </c>
      <c r="I34" s="10" t="s">
        <v>666</v>
      </c>
      <c r="J34" s="7">
        <v>7.0</v>
      </c>
      <c r="K34" s="10" t="s">
        <v>568</v>
      </c>
      <c r="L34" s="7" t="s">
        <v>574</v>
      </c>
      <c r="M34" s="7" t="s">
        <v>670</v>
      </c>
      <c r="N34" s="7" t="s">
        <v>672</v>
      </c>
      <c r="O34" s="13" t="s">
        <v>41</v>
      </c>
    </row>
    <row r="35" ht="15.75" customHeight="1">
      <c r="A35" s="7">
        <v>31.0</v>
      </c>
      <c r="B35" s="8" t="s">
        <v>361</v>
      </c>
      <c r="C35" s="7" t="s">
        <v>674</v>
      </c>
      <c r="D35" s="7" t="s">
        <v>370</v>
      </c>
      <c r="E35" s="10" t="s">
        <v>675</v>
      </c>
      <c r="F35" s="10" t="s">
        <v>407</v>
      </c>
      <c r="G35" s="8" t="s">
        <v>498</v>
      </c>
      <c r="H35" s="13" t="s">
        <v>41</v>
      </c>
      <c r="I35" s="10" t="s">
        <v>681</v>
      </c>
      <c r="J35" s="7">
        <v>8.0</v>
      </c>
      <c r="K35" s="10" t="s">
        <v>589</v>
      </c>
      <c r="L35" s="7" t="s">
        <v>599</v>
      </c>
      <c r="M35" s="7" t="s">
        <v>683</v>
      </c>
      <c r="N35" s="7" t="s">
        <v>684</v>
      </c>
      <c r="O35" s="13" t="s">
        <v>41</v>
      </c>
    </row>
    <row r="36" ht="15.75" customHeight="1">
      <c r="A36" s="7">
        <v>32.0</v>
      </c>
      <c r="B36" s="8" t="s">
        <v>361</v>
      </c>
      <c r="C36" s="7" t="s">
        <v>685</v>
      </c>
      <c r="D36" s="7" t="s">
        <v>370</v>
      </c>
      <c r="E36" s="10" t="s">
        <v>689</v>
      </c>
      <c r="F36" s="10" t="s">
        <v>691</v>
      </c>
      <c r="G36" s="8" t="s">
        <v>692</v>
      </c>
      <c r="H36" s="13" t="s">
        <v>41</v>
      </c>
      <c r="I36" s="10" t="s">
        <v>693</v>
      </c>
      <c r="J36" s="7">
        <v>9.0</v>
      </c>
      <c r="K36" s="10" t="s">
        <v>607</v>
      </c>
      <c r="L36" s="7" t="s">
        <v>609</v>
      </c>
      <c r="M36" s="7" t="s">
        <v>694</v>
      </c>
      <c r="N36" s="7" t="s">
        <v>695</v>
      </c>
      <c r="O36" s="13" t="s">
        <v>41</v>
      </c>
    </row>
    <row r="37" ht="15.75" customHeight="1">
      <c r="A37" s="7">
        <v>33.0</v>
      </c>
      <c r="B37" s="8" t="s">
        <v>361</v>
      </c>
      <c r="C37" s="7" t="s">
        <v>701</v>
      </c>
      <c r="D37" s="7" t="s">
        <v>370</v>
      </c>
      <c r="E37" s="10" t="s">
        <v>703</v>
      </c>
      <c r="F37" s="10" t="s">
        <v>704</v>
      </c>
      <c r="G37" s="8" t="s">
        <v>441</v>
      </c>
      <c r="H37" s="13" t="s">
        <v>41</v>
      </c>
      <c r="I37" s="10" t="s">
        <v>705</v>
      </c>
      <c r="J37" s="7">
        <v>9.0</v>
      </c>
      <c r="K37" s="10" t="s">
        <v>607</v>
      </c>
      <c r="L37" s="7" t="s">
        <v>614</v>
      </c>
      <c r="M37" s="7" t="s">
        <v>709</v>
      </c>
      <c r="N37" s="7" t="s">
        <v>710</v>
      </c>
      <c r="O37" s="13" t="s">
        <v>41</v>
      </c>
    </row>
    <row r="38" ht="15.75" customHeight="1">
      <c r="A38" s="7">
        <v>34.0</v>
      </c>
      <c r="B38" s="8" t="s">
        <v>363</v>
      </c>
      <c r="C38" s="7" t="s">
        <v>714</v>
      </c>
      <c r="D38" s="7" t="s">
        <v>63</v>
      </c>
      <c r="E38" s="10" t="s">
        <v>715</v>
      </c>
      <c r="F38" s="10" t="s">
        <v>407</v>
      </c>
      <c r="G38" s="8" t="s">
        <v>716</v>
      </c>
      <c r="H38" s="13" t="s">
        <v>41</v>
      </c>
      <c r="I38" s="10" t="s">
        <v>719</v>
      </c>
      <c r="J38" s="7">
        <v>6.0</v>
      </c>
      <c r="K38" s="10" t="s">
        <v>538</v>
      </c>
      <c r="L38" s="7" t="s">
        <v>543</v>
      </c>
      <c r="M38" s="24" t="s">
        <v>724</v>
      </c>
      <c r="N38" s="24" t="s">
        <v>724</v>
      </c>
      <c r="O38" s="13" t="s">
        <v>41</v>
      </c>
    </row>
    <row r="39" ht="15.75" customHeight="1">
      <c r="A39" s="7">
        <v>35.0</v>
      </c>
      <c r="B39" s="8" t="s">
        <v>363</v>
      </c>
      <c r="C39" s="7" t="s">
        <v>526</v>
      </c>
      <c r="D39" s="7" t="s">
        <v>63</v>
      </c>
      <c r="E39" s="10" t="s">
        <v>734</v>
      </c>
      <c r="F39" s="10" t="s">
        <v>735</v>
      </c>
      <c r="G39" s="8" t="s">
        <v>441</v>
      </c>
      <c r="H39" s="13" t="s">
        <v>41</v>
      </c>
      <c r="I39" s="10"/>
      <c r="J39" s="7">
        <v>5.0</v>
      </c>
      <c r="K39" s="10" t="s">
        <v>464</v>
      </c>
      <c r="L39" s="7" t="s">
        <v>519</v>
      </c>
      <c r="M39" s="24" t="s">
        <v>724</v>
      </c>
      <c r="N39" s="24" t="s">
        <v>724</v>
      </c>
      <c r="O39" s="13" t="s">
        <v>41</v>
      </c>
    </row>
    <row r="40" ht="15.75" customHeight="1">
      <c r="A40" s="7">
        <v>36.0</v>
      </c>
      <c r="B40" s="8" t="s">
        <v>363</v>
      </c>
      <c r="C40" s="7" t="s">
        <v>740</v>
      </c>
      <c r="D40" s="7" t="s">
        <v>63</v>
      </c>
      <c r="E40" s="10" t="s">
        <v>741</v>
      </c>
      <c r="F40" s="10" t="s">
        <v>533</v>
      </c>
      <c r="G40" s="8" t="s">
        <v>441</v>
      </c>
      <c r="H40" s="13" t="s">
        <v>41</v>
      </c>
      <c r="I40" s="10"/>
      <c r="J40" s="7">
        <v>5.0</v>
      </c>
      <c r="K40" s="10" t="s">
        <v>464</v>
      </c>
      <c r="L40" s="7" t="s">
        <v>528</v>
      </c>
      <c r="M40" s="24" t="s">
        <v>724</v>
      </c>
      <c r="N40" s="24" t="s">
        <v>724</v>
      </c>
      <c r="O40" s="13" t="s">
        <v>41</v>
      </c>
    </row>
    <row r="41" ht="15.75" customHeight="1">
      <c r="A41" s="7">
        <v>37.0</v>
      </c>
      <c r="B41" s="8" t="s">
        <v>363</v>
      </c>
      <c r="C41" s="7" t="s">
        <v>564</v>
      </c>
      <c r="D41" s="7" t="s">
        <v>63</v>
      </c>
      <c r="E41" s="10" t="s">
        <v>749</v>
      </c>
      <c r="F41" s="10" t="s">
        <v>533</v>
      </c>
      <c r="G41" s="8" t="s">
        <v>750</v>
      </c>
      <c r="H41" s="13" t="s">
        <v>41</v>
      </c>
      <c r="I41" s="10"/>
      <c r="J41" s="7">
        <v>6.0</v>
      </c>
      <c r="K41" s="10" t="s">
        <v>538</v>
      </c>
      <c r="L41" s="7" t="s">
        <v>560</v>
      </c>
      <c r="M41" s="24" t="s">
        <v>724</v>
      </c>
      <c r="N41" s="24" t="s">
        <v>724</v>
      </c>
      <c r="O41" s="13" t="s">
        <v>41</v>
      </c>
    </row>
    <row r="42" ht="15.75" customHeight="1">
      <c r="A42" s="7">
        <v>38.0</v>
      </c>
      <c r="B42" s="8" t="s">
        <v>363</v>
      </c>
      <c r="C42" s="7" t="s">
        <v>751</v>
      </c>
      <c r="D42" s="7" t="s">
        <v>63</v>
      </c>
      <c r="E42" s="10" t="s">
        <v>752</v>
      </c>
      <c r="F42" s="10" t="s">
        <v>704</v>
      </c>
      <c r="G42" s="8" t="s">
        <v>579</v>
      </c>
      <c r="H42" s="13" t="s">
        <v>41</v>
      </c>
      <c r="I42" s="10"/>
      <c r="J42" s="7">
        <v>9.0</v>
      </c>
      <c r="K42" s="10" t="s">
        <v>607</v>
      </c>
      <c r="L42" s="7" t="s">
        <v>614</v>
      </c>
      <c r="M42" s="24" t="s">
        <v>724</v>
      </c>
      <c r="N42" s="24" t="s">
        <v>724</v>
      </c>
      <c r="O42" s="13" t="s">
        <v>41</v>
      </c>
    </row>
    <row r="43" ht="15.75" customHeight="1">
      <c r="A43" s="7">
        <v>39.0</v>
      </c>
      <c r="B43" s="8" t="s">
        <v>363</v>
      </c>
      <c r="C43" s="7" t="s">
        <v>753</v>
      </c>
      <c r="D43" s="7" t="s">
        <v>63</v>
      </c>
      <c r="E43" s="10" t="s">
        <v>755</v>
      </c>
      <c r="F43" s="10" t="s">
        <v>756</v>
      </c>
      <c r="G43" s="8" t="s">
        <v>498</v>
      </c>
      <c r="H43" s="13" t="s">
        <v>41</v>
      </c>
      <c r="I43" s="10"/>
      <c r="J43" s="7">
        <v>8.0</v>
      </c>
      <c r="K43" s="10" t="s">
        <v>589</v>
      </c>
      <c r="L43" s="7" t="s">
        <v>599</v>
      </c>
      <c r="M43" s="24" t="s">
        <v>724</v>
      </c>
      <c r="N43" s="24" t="s">
        <v>724</v>
      </c>
      <c r="O43" s="13" t="s">
        <v>41</v>
      </c>
    </row>
    <row r="44" ht="15.75" customHeight="1">
      <c r="A44" s="7">
        <v>40.0</v>
      </c>
      <c r="B44" s="8" t="s">
        <v>363</v>
      </c>
      <c r="C44" s="7" t="s">
        <v>758</v>
      </c>
      <c r="D44" s="7" t="s">
        <v>63</v>
      </c>
      <c r="E44" s="10" t="s">
        <v>759</v>
      </c>
      <c r="F44" s="10" t="s">
        <v>691</v>
      </c>
      <c r="G44" s="8" t="s">
        <v>692</v>
      </c>
      <c r="H44" s="13" t="s">
        <v>41</v>
      </c>
      <c r="I44" s="10" t="s">
        <v>760</v>
      </c>
      <c r="J44" s="7">
        <v>9.0</v>
      </c>
      <c r="K44" s="10" t="s">
        <v>607</v>
      </c>
      <c r="L44" s="7" t="s">
        <v>609</v>
      </c>
      <c r="M44" s="24" t="s">
        <v>724</v>
      </c>
      <c r="N44" s="24" t="s">
        <v>724</v>
      </c>
      <c r="O44" s="13" t="s">
        <v>41</v>
      </c>
    </row>
    <row r="45" ht="15.75" customHeight="1">
      <c r="A45" s="7">
        <v>41.0</v>
      </c>
      <c r="B45" s="8" t="s">
        <v>363</v>
      </c>
      <c r="C45" s="7" t="s">
        <v>762</v>
      </c>
      <c r="D45" s="7" t="s">
        <v>63</v>
      </c>
      <c r="E45" s="10" t="s">
        <v>763</v>
      </c>
      <c r="F45" s="10" t="s">
        <v>475</v>
      </c>
      <c r="G45" s="8" t="s">
        <v>441</v>
      </c>
      <c r="H45" s="13" t="s">
        <v>41</v>
      </c>
      <c r="I45" s="10"/>
      <c r="J45" s="7">
        <v>9.0</v>
      </c>
      <c r="K45" s="10" t="s">
        <v>607</v>
      </c>
      <c r="L45" s="7" t="s">
        <v>609</v>
      </c>
      <c r="M45" s="24" t="s">
        <v>724</v>
      </c>
      <c r="N45" s="24" t="s">
        <v>724</v>
      </c>
      <c r="O45" s="13" t="s">
        <v>41</v>
      </c>
    </row>
    <row r="46" ht="15.75" customHeight="1">
      <c r="A46" s="7">
        <v>42.0</v>
      </c>
      <c r="B46" s="8" t="s">
        <v>363</v>
      </c>
      <c r="C46" s="7" t="s">
        <v>628</v>
      </c>
      <c r="D46" s="7" t="s">
        <v>63</v>
      </c>
      <c r="E46" s="10" t="s">
        <v>764</v>
      </c>
      <c r="F46" s="10" t="s">
        <v>533</v>
      </c>
      <c r="G46" s="8" t="s">
        <v>441</v>
      </c>
      <c r="H46" s="13" t="s">
        <v>41</v>
      </c>
      <c r="I46" s="10" t="s">
        <v>765</v>
      </c>
      <c r="J46" s="7">
        <v>9.0</v>
      </c>
      <c r="K46" s="10" t="s">
        <v>607</v>
      </c>
      <c r="L46" s="7" t="s">
        <v>624</v>
      </c>
      <c r="M46" s="24" t="s">
        <v>724</v>
      </c>
      <c r="N46" s="24" t="s">
        <v>724</v>
      </c>
      <c r="O46" s="13" t="s">
        <v>41</v>
      </c>
    </row>
    <row r="47" ht="15.75" customHeight="1">
      <c r="A47" s="7">
        <v>43.0</v>
      </c>
      <c r="B47" s="8" t="s">
        <v>363</v>
      </c>
      <c r="C47" s="7" t="s">
        <v>673</v>
      </c>
      <c r="D47" s="7" t="s">
        <v>63</v>
      </c>
      <c r="E47" s="10" t="s">
        <v>775</v>
      </c>
      <c r="F47" s="10" t="s">
        <v>756</v>
      </c>
      <c r="G47" s="8" t="s">
        <v>776</v>
      </c>
      <c r="H47" s="13" t="s">
        <v>41</v>
      </c>
      <c r="I47" s="10"/>
      <c r="J47" s="7">
        <v>10.0</v>
      </c>
      <c r="K47" s="10" t="s">
        <v>631</v>
      </c>
      <c r="L47" s="7" t="s">
        <v>667</v>
      </c>
      <c r="M47" s="24" t="s">
        <v>724</v>
      </c>
      <c r="N47" s="24" t="s">
        <v>724</v>
      </c>
      <c r="O47" s="13" t="s">
        <v>41</v>
      </c>
    </row>
    <row r="48" ht="15.75" customHeight="1">
      <c r="A48" s="7">
        <v>44.0</v>
      </c>
      <c r="B48" s="8" t="s">
        <v>363</v>
      </c>
      <c r="C48" s="7" t="s">
        <v>789</v>
      </c>
      <c r="D48" s="7" t="s">
        <v>63</v>
      </c>
      <c r="E48" s="10" t="s">
        <v>790</v>
      </c>
      <c r="F48" s="10" t="s">
        <v>533</v>
      </c>
      <c r="G48" s="8" t="s">
        <v>441</v>
      </c>
      <c r="H48" s="13" t="s">
        <v>41</v>
      </c>
      <c r="I48" s="10"/>
      <c r="J48" s="7">
        <v>11.0</v>
      </c>
      <c r="K48" s="10" t="s">
        <v>676</v>
      </c>
      <c r="L48" s="7" t="s">
        <v>677</v>
      </c>
      <c r="M48" s="24" t="s">
        <v>724</v>
      </c>
      <c r="N48" s="24" t="s">
        <v>724</v>
      </c>
      <c r="O48" s="13" t="s">
        <v>41</v>
      </c>
    </row>
    <row r="49" ht="15.75" customHeight="1">
      <c r="A49" s="7">
        <v>45.0</v>
      </c>
      <c r="B49" s="8" t="s">
        <v>364</v>
      </c>
      <c r="C49" s="7" t="s">
        <v>771</v>
      </c>
      <c r="D49" s="7" t="s">
        <v>748</v>
      </c>
      <c r="E49" s="10" t="s">
        <v>799</v>
      </c>
      <c r="F49" s="10" t="s">
        <v>800</v>
      </c>
      <c r="G49" s="8" t="s">
        <v>441</v>
      </c>
      <c r="H49" s="13" t="s">
        <v>41</v>
      </c>
      <c r="I49" s="10"/>
      <c r="J49" s="7">
        <v>2.0</v>
      </c>
      <c r="K49" s="10" t="s">
        <v>282</v>
      </c>
      <c r="L49" s="24" t="s">
        <v>724</v>
      </c>
      <c r="M49" s="7" t="s">
        <v>766</v>
      </c>
      <c r="N49" s="24" t="s">
        <v>724</v>
      </c>
      <c r="O49" s="13" t="s">
        <v>41</v>
      </c>
    </row>
    <row r="50" ht="15.75" customHeight="1">
      <c r="A50" s="7">
        <v>46.0</v>
      </c>
      <c r="B50" s="8" t="s">
        <v>364</v>
      </c>
      <c r="C50" s="7" t="s">
        <v>804</v>
      </c>
      <c r="D50" s="7" t="s">
        <v>748</v>
      </c>
      <c r="E50" s="10" t="s">
        <v>806</v>
      </c>
      <c r="F50" s="10" t="s">
        <v>807</v>
      </c>
      <c r="G50" s="8" t="s">
        <v>579</v>
      </c>
      <c r="H50" s="13" t="s">
        <v>442</v>
      </c>
      <c r="I50" s="10" t="s">
        <v>808</v>
      </c>
      <c r="J50" s="7">
        <v>3.0</v>
      </c>
      <c r="K50" s="10" t="s">
        <v>375</v>
      </c>
      <c r="L50" s="24" t="s">
        <v>724</v>
      </c>
      <c r="M50" s="7" t="s">
        <v>530</v>
      </c>
      <c r="N50" s="24" t="s">
        <v>724</v>
      </c>
      <c r="O50" s="13" t="s">
        <v>41</v>
      </c>
    </row>
    <row r="51" ht="15.75" customHeight="1">
      <c r="A51" s="7">
        <v>47.0</v>
      </c>
      <c r="B51" s="8" t="s">
        <v>364</v>
      </c>
      <c r="C51" s="7" t="s">
        <v>810</v>
      </c>
      <c r="D51" s="7" t="s">
        <v>748</v>
      </c>
      <c r="E51" s="10" t="s">
        <v>811</v>
      </c>
      <c r="F51" s="10" t="s">
        <v>407</v>
      </c>
      <c r="G51" s="8" t="s">
        <v>373</v>
      </c>
      <c r="H51" s="13" t="s">
        <v>41</v>
      </c>
      <c r="I51" s="10"/>
      <c r="J51" s="7">
        <v>6.0</v>
      </c>
      <c r="K51" s="10" t="s">
        <v>538</v>
      </c>
      <c r="L51" s="24" t="s">
        <v>724</v>
      </c>
      <c r="M51" s="7" t="s">
        <v>544</v>
      </c>
      <c r="N51" s="24" t="s">
        <v>724</v>
      </c>
      <c r="O51" s="13" t="s">
        <v>41</v>
      </c>
    </row>
    <row r="52" ht="15.75" customHeight="1">
      <c r="A52" s="7">
        <v>48.0</v>
      </c>
      <c r="B52" s="8" t="s">
        <v>364</v>
      </c>
      <c r="C52" s="7" t="s">
        <v>813</v>
      </c>
      <c r="D52" s="7" t="s">
        <v>748</v>
      </c>
      <c r="E52" s="10" t="s">
        <v>617</v>
      </c>
      <c r="F52" s="10" t="s">
        <v>814</v>
      </c>
      <c r="G52" s="8" t="s">
        <v>441</v>
      </c>
      <c r="H52" s="13" t="s">
        <v>41</v>
      </c>
      <c r="I52" s="10"/>
      <c r="J52" s="7">
        <v>5.0</v>
      </c>
      <c r="K52" s="10" t="s">
        <v>464</v>
      </c>
      <c r="L52" s="24" t="s">
        <v>724</v>
      </c>
      <c r="M52" s="7" t="s">
        <v>622</v>
      </c>
      <c r="N52" s="24" t="s">
        <v>724</v>
      </c>
      <c r="O52" s="13" t="s">
        <v>41</v>
      </c>
    </row>
    <row r="53" ht="15.75" customHeight="1">
      <c r="A53" s="7">
        <v>49.0</v>
      </c>
      <c r="B53" s="8" t="s">
        <v>364</v>
      </c>
      <c r="C53" s="7" t="s">
        <v>815</v>
      </c>
      <c r="D53" s="7" t="s">
        <v>748</v>
      </c>
      <c r="E53" s="10" t="s">
        <v>816</v>
      </c>
      <c r="F53" s="10" t="s">
        <v>817</v>
      </c>
      <c r="G53" s="8" t="s">
        <v>441</v>
      </c>
      <c r="H53" s="13" t="s">
        <v>41</v>
      </c>
      <c r="I53" s="10"/>
      <c r="J53" s="7">
        <v>5.0</v>
      </c>
      <c r="K53" s="10" t="s">
        <v>464</v>
      </c>
      <c r="L53" s="24" t="s">
        <v>724</v>
      </c>
      <c r="M53" s="7" t="s">
        <v>818</v>
      </c>
      <c r="N53" s="24" t="s">
        <v>724</v>
      </c>
      <c r="O53" s="13" t="s">
        <v>41</v>
      </c>
    </row>
    <row r="54" ht="15.75" customHeight="1">
      <c r="A54" s="7">
        <v>50.0</v>
      </c>
      <c r="B54" s="8" t="s">
        <v>364</v>
      </c>
      <c r="C54" s="7" t="s">
        <v>820</v>
      </c>
      <c r="D54" s="7" t="s">
        <v>748</v>
      </c>
      <c r="E54" s="10" t="s">
        <v>821</v>
      </c>
      <c r="F54" s="10" t="s">
        <v>817</v>
      </c>
      <c r="G54" s="8" t="s">
        <v>498</v>
      </c>
      <c r="H54" s="13" t="s">
        <v>41</v>
      </c>
      <c r="I54" s="10"/>
      <c r="J54" s="7">
        <v>6.0</v>
      </c>
      <c r="K54" s="10" t="s">
        <v>538</v>
      </c>
      <c r="L54" s="24" t="s">
        <v>724</v>
      </c>
      <c r="M54" s="7" t="s">
        <v>544</v>
      </c>
      <c r="N54" s="24" t="s">
        <v>724</v>
      </c>
      <c r="O54" s="13" t="s">
        <v>41</v>
      </c>
    </row>
    <row r="55" ht="15.75" customHeight="1">
      <c r="A55" s="7">
        <v>51.0</v>
      </c>
      <c r="B55" s="8" t="s">
        <v>364</v>
      </c>
      <c r="C55" s="7" t="s">
        <v>824</v>
      </c>
      <c r="D55" s="7" t="s">
        <v>748</v>
      </c>
      <c r="E55" s="10" t="s">
        <v>825</v>
      </c>
      <c r="F55" s="10" t="s">
        <v>817</v>
      </c>
      <c r="G55" s="8" t="s">
        <v>441</v>
      </c>
      <c r="H55" s="13" t="s">
        <v>41</v>
      </c>
      <c r="I55" s="10"/>
      <c r="J55" s="7">
        <v>5.0</v>
      </c>
      <c r="K55" s="10" t="s">
        <v>464</v>
      </c>
      <c r="L55" s="24" t="s">
        <v>724</v>
      </c>
      <c r="M55" s="7" t="s">
        <v>822</v>
      </c>
      <c r="N55" s="24" t="s">
        <v>724</v>
      </c>
      <c r="O55" s="13" t="s">
        <v>41</v>
      </c>
    </row>
    <row r="56" ht="15.75" customHeight="1">
      <c r="A56" s="7">
        <v>52.0</v>
      </c>
      <c r="B56" s="8" t="s">
        <v>364</v>
      </c>
      <c r="C56" s="7" t="s">
        <v>828</v>
      </c>
      <c r="D56" s="7" t="s">
        <v>748</v>
      </c>
      <c r="E56" s="10" t="s">
        <v>829</v>
      </c>
      <c r="F56" s="10" t="s">
        <v>817</v>
      </c>
      <c r="G56" s="8" t="s">
        <v>498</v>
      </c>
      <c r="H56" s="13" t="s">
        <v>41</v>
      </c>
      <c r="I56" s="10"/>
      <c r="J56" s="7">
        <v>8.0</v>
      </c>
      <c r="K56" s="10" t="s">
        <v>589</v>
      </c>
      <c r="L56" s="24" t="s">
        <v>724</v>
      </c>
      <c r="M56" s="7" t="s">
        <v>683</v>
      </c>
      <c r="N56" s="24" t="s">
        <v>724</v>
      </c>
      <c r="O56" s="13" t="s">
        <v>41</v>
      </c>
    </row>
    <row r="57" ht="15.75" customHeight="1">
      <c r="A57" s="7">
        <v>53.0</v>
      </c>
      <c r="B57" s="8" t="s">
        <v>364</v>
      </c>
      <c r="C57" s="7" t="s">
        <v>833</v>
      </c>
      <c r="D57" s="7" t="s">
        <v>748</v>
      </c>
      <c r="E57" s="10" t="s">
        <v>835</v>
      </c>
      <c r="F57" s="10" t="s">
        <v>691</v>
      </c>
      <c r="G57" s="8" t="s">
        <v>692</v>
      </c>
      <c r="H57" s="13" t="s">
        <v>41</v>
      </c>
      <c r="I57" s="10"/>
      <c r="J57" s="7">
        <v>9.0</v>
      </c>
      <c r="K57" s="10" t="s">
        <v>607</v>
      </c>
      <c r="L57" s="24" t="s">
        <v>724</v>
      </c>
      <c r="M57" s="7" t="s">
        <v>694</v>
      </c>
      <c r="N57" s="24" t="s">
        <v>724</v>
      </c>
      <c r="O57" s="13" t="s">
        <v>41</v>
      </c>
    </row>
    <row r="58" ht="15.75" customHeight="1">
      <c r="A58" s="7">
        <v>54.0</v>
      </c>
      <c r="B58" s="8" t="s">
        <v>364</v>
      </c>
      <c r="C58" s="7" t="s">
        <v>838</v>
      </c>
      <c r="D58" s="7" t="s">
        <v>748</v>
      </c>
      <c r="E58" s="10" t="s">
        <v>839</v>
      </c>
      <c r="F58" s="10" t="s">
        <v>817</v>
      </c>
      <c r="G58" s="8" t="s">
        <v>776</v>
      </c>
      <c r="H58" s="13" t="s">
        <v>41</v>
      </c>
      <c r="I58" s="10"/>
      <c r="J58" s="7">
        <v>10.0</v>
      </c>
      <c r="K58" s="10" t="s">
        <v>631</v>
      </c>
      <c r="L58" s="24" t="s">
        <v>724</v>
      </c>
      <c r="M58" s="7" t="s">
        <v>841</v>
      </c>
      <c r="N58" s="24" t="s">
        <v>724</v>
      </c>
      <c r="O58" s="13" t="s">
        <v>41</v>
      </c>
    </row>
    <row r="59" ht="15.75" customHeight="1">
      <c r="A59" s="7">
        <v>55.0</v>
      </c>
      <c r="B59" s="8" t="s">
        <v>364</v>
      </c>
      <c r="C59" s="7" t="s">
        <v>842</v>
      </c>
      <c r="D59" s="7" t="s">
        <v>748</v>
      </c>
      <c r="E59" s="10" t="s">
        <v>844</v>
      </c>
      <c r="F59" s="10" t="s">
        <v>817</v>
      </c>
      <c r="G59" s="8" t="s">
        <v>441</v>
      </c>
      <c r="H59" s="13" t="s">
        <v>41</v>
      </c>
      <c r="I59" s="10"/>
      <c r="J59" s="7">
        <v>11.0</v>
      </c>
      <c r="K59" s="10" t="s">
        <v>676</v>
      </c>
      <c r="L59" s="24" t="s">
        <v>724</v>
      </c>
      <c r="M59" s="7" t="s">
        <v>845</v>
      </c>
      <c r="N59" s="24" t="s">
        <v>724</v>
      </c>
      <c r="O59" s="13" t="s">
        <v>41</v>
      </c>
    </row>
    <row r="60" ht="15.75" customHeight="1">
      <c r="A60" s="7">
        <v>56.0</v>
      </c>
      <c r="B60" s="8" t="s">
        <v>365</v>
      </c>
      <c r="C60" s="7" t="s">
        <v>848</v>
      </c>
      <c r="D60" s="7" t="s">
        <v>849</v>
      </c>
      <c r="E60" s="10" t="s">
        <v>850</v>
      </c>
      <c r="F60" s="10" t="s">
        <v>851</v>
      </c>
      <c r="G60" s="8" t="s">
        <v>441</v>
      </c>
      <c r="H60" s="13" t="s">
        <v>41</v>
      </c>
      <c r="I60" s="10" t="s">
        <v>852</v>
      </c>
      <c r="J60" s="7">
        <v>2.0</v>
      </c>
      <c r="K60" s="10" t="s">
        <v>282</v>
      </c>
      <c r="L60" s="24" t="s">
        <v>724</v>
      </c>
      <c r="M60" s="24" t="s">
        <v>724</v>
      </c>
      <c r="N60" s="7" t="s">
        <v>854</v>
      </c>
      <c r="O60" s="13" t="s">
        <v>41</v>
      </c>
    </row>
    <row r="61" ht="15.75" customHeight="1">
      <c r="A61" s="7">
        <v>57.0</v>
      </c>
      <c r="B61" s="8" t="s">
        <v>365</v>
      </c>
      <c r="C61" s="7" t="s">
        <v>856</v>
      </c>
      <c r="D61" s="7" t="s">
        <v>849</v>
      </c>
      <c r="E61" s="10" t="s">
        <v>858</v>
      </c>
      <c r="F61" s="10" t="s">
        <v>859</v>
      </c>
      <c r="G61" s="8" t="s">
        <v>579</v>
      </c>
      <c r="H61" s="13" t="s">
        <v>442</v>
      </c>
      <c r="I61" s="10" t="s">
        <v>862</v>
      </c>
      <c r="J61" s="7">
        <v>3.0</v>
      </c>
      <c r="K61" s="10" t="s">
        <v>375</v>
      </c>
      <c r="L61" s="24" t="s">
        <v>724</v>
      </c>
      <c r="M61" s="24" t="s">
        <v>724</v>
      </c>
      <c r="N61" s="7" t="s">
        <v>532</v>
      </c>
      <c r="O61" s="13" t="s">
        <v>41</v>
      </c>
    </row>
    <row r="62" ht="15.75" customHeight="1">
      <c r="A62" s="7">
        <v>58.0</v>
      </c>
      <c r="B62" s="8" t="s">
        <v>365</v>
      </c>
      <c r="C62" s="7" t="s">
        <v>866</v>
      </c>
      <c r="D62" s="7" t="s">
        <v>849</v>
      </c>
      <c r="E62" s="10" t="s">
        <v>867</v>
      </c>
      <c r="F62" s="10" t="s">
        <v>407</v>
      </c>
      <c r="G62" s="8" t="s">
        <v>373</v>
      </c>
      <c r="H62" s="13" t="s">
        <v>41</v>
      </c>
      <c r="I62" s="10"/>
      <c r="J62" s="7">
        <v>6.0</v>
      </c>
      <c r="K62" s="10" t="s">
        <v>538</v>
      </c>
      <c r="L62" s="24" t="s">
        <v>724</v>
      </c>
      <c r="M62" s="24" t="s">
        <v>724</v>
      </c>
      <c r="N62" s="7" t="s">
        <v>545</v>
      </c>
      <c r="O62" s="13" t="s">
        <v>41</v>
      </c>
    </row>
    <row r="63" ht="15.75" customHeight="1">
      <c r="A63" s="7">
        <v>59.0</v>
      </c>
      <c r="B63" s="8" t="s">
        <v>365</v>
      </c>
      <c r="C63" s="7" t="s">
        <v>871</v>
      </c>
      <c r="D63" s="7" t="s">
        <v>849</v>
      </c>
      <c r="E63" s="10" t="s">
        <v>617</v>
      </c>
      <c r="F63" s="10" t="s">
        <v>872</v>
      </c>
      <c r="G63" s="8" t="s">
        <v>441</v>
      </c>
      <c r="H63" s="13" t="s">
        <v>41</v>
      </c>
      <c r="I63" s="10"/>
      <c r="J63" s="7">
        <v>5.0</v>
      </c>
      <c r="K63" s="10" t="s">
        <v>464</v>
      </c>
      <c r="L63" s="24" t="s">
        <v>724</v>
      </c>
      <c r="M63" s="24" t="s">
        <v>724</v>
      </c>
      <c r="N63" s="7" t="s">
        <v>623</v>
      </c>
      <c r="O63" s="13" t="s">
        <v>41</v>
      </c>
    </row>
    <row r="64" ht="15.75" customHeight="1">
      <c r="A64" s="7">
        <v>60.0</v>
      </c>
      <c r="B64" s="8" t="s">
        <v>365</v>
      </c>
      <c r="C64" s="7" t="s">
        <v>874</v>
      </c>
      <c r="D64" s="7" t="s">
        <v>849</v>
      </c>
      <c r="E64" s="10" t="s">
        <v>876</v>
      </c>
      <c r="F64" s="10" t="s">
        <v>878</v>
      </c>
      <c r="G64" s="8" t="s">
        <v>498</v>
      </c>
      <c r="H64" s="13" t="s">
        <v>41</v>
      </c>
      <c r="I64" s="10"/>
      <c r="J64" s="7">
        <v>6.0</v>
      </c>
      <c r="K64" s="10" t="s">
        <v>538</v>
      </c>
      <c r="L64" s="24" t="s">
        <v>724</v>
      </c>
      <c r="M64" s="24" t="s">
        <v>724</v>
      </c>
      <c r="N64" s="7" t="s">
        <v>545</v>
      </c>
      <c r="O64" s="13" t="s">
        <v>41</v>
      </c>
    </row>
    <row r="65" ht="15.75" customHeight="1">
      <c r="A65" s="7">
        <v>61.0</v>
      </c>
      <c r="B65" s="8" t="s">
        <v>365</v>
      </c>
      <c r="C65" s="7" t="s">
        <v>880</v>
      </c>
      <c r="D65" s="7" t="s">
        <v>849</v>
      </c>
      <c r="E65" s="10" t="s">
        <v>881</v>
      </c>
      <c r="F65" s="10" t="s">
        <v>882</v>
      </c>
      <c r="G65" s="8" t="s">
        <v>441</v>
      </c>
      <c r="H65" s="13" t="s">
        <v>41</v>
      </c>
      <c r="I65" s="10"/>
      <c r="J65" s="7">
        <v>5.0</v>
      </c>
      <c r="K65" s="10" t="s">
        <v>464</v>
      </c>
      <c r="L65" s="24" t="s">
        <v>724</v>
      </c>
      <c r="M65" s="24" t="s">
        <v>724</v>
      </c>
      <c r="N65" s="7" t="s">
        <v>883</v>
      </c>
      <c r="O65" s="13" t="s">
        <v>41</v>
      </c>
    </row>
    <row r="66" ht="15.75" customHeight="1">
      <c r="A66" s="7">
        <v>62.0</v>
      </c>
      <c r="B66" s="8" t="s">
        <v>365</v>
      </c>
      <c r="C66" s="7" t="s">
        <v>885</v>
      </c>
      <c r="D66" s="7" t="s">
        <v>849</v>
      </c>
      <c r="E66" s="10" t="s">
        <v>886</v>
      </c>
      <c r="F66" s="10" t="s">
        <v>887</v>
      </c>
      <c r="G66" s="8" t="s">
        <v>441</v>
      </c>
      <c r="H66" s="13" t="s">
        <v>442</v>
      </c>
      <c r="I66" s="10" t="s">
        <v>888</v>
      </c>
      <c r="J66" s="7">
        <v>5.0</v>
      </c>
      <c r="K66" s="10" t="s">
        <v>464</v>
      </c>
      <c r="L66" s="24" t="s">
        <v>724</v>
      </c>
      <c r="M66" s="24" t="s">
        <v>724</v>
      </c>
      <c r="N66" s="7" t="s">
        <v>890</v>
      </c>
      <c r="O66" s="13" t="s">
        <v>41</v>
      </c>
    </row>
    <row r="67" ht="15.75" customHeight="1">
      <c r="A67" s="7">
        <v>63.0</v>
      </c>
      <c r="B67" s="8" t="s">
        <v>365</v>
      </c>
      <c r="C67" s="7" t="s">
        <v>891</v>
      </c>
      <c r="D67" s="7" t="s">
        <v>849</v>
      </c>
      <c r="E67" s="10" t="s">
        <v>892</v>
      </c>
      <c r="F67" s="10" t="s">
        <v>893</v>
      </c>
      <c r="G67" s="8" t="s">
        <v>441</v>
      </c>
      <c r="H67" s="13" t="s">
        <v>442</v>
      </c>
      <c r="I67" s="10" t="s">
        <v>894</v>
      </c>
      <c r="J67" s="7">
        <v>5.0</v>
      </c>
      <c r="K67" s="10" t="s">
        <v>464</v>
      </c>
      <c r="L67" s="24" t="s">
        <v>724</v>
      </c>
      <c r="M67" s="24" t="s">
        <v>724</v>
      </c>
      <c r="N67" s="7" t="s">
        <v>896</v>
      </c>
      <c r="O67" s="13" t="s">
        <v>41</v>
      </c>
    </row>
    <row r="68" ht="15.75" customHeight="1">
      <c r="A68" s="7">
        <v>64.0</v>
      </c>
      <c r="B68" s="8" t="s">
        <v>365</v>
      </c>
      <c r="C68" s="7" t="s">
        <v>897</v>
      </c>
      <c r="D68" s="7" t="s">
        <v>849</v>
      </c>
      <c r="E68" s="10" t="s">
        <v>898</v>
      </c>
      <c r="F68" s="10" t="s">
        <v>899</v>
      </c>
      <c r="G68" s="8" t="s">
        <v>441</v>
      </c>
      <c r="H68" s="13" t="s">
        <v>442</v>
      </c>
      <c r="I68" s="10" t="s">
        <v>900</v>
      </c>
      <c r="J68" s="7">
        <v>5.0</v>
      </c>
      <c r="K68" s="10" t="s">
        <v>464</v>
      </c>
      <c r="L68" s="24" t="s">
        <v>724</v>
      </c>
      <c r="M68" s="24" t="s">
        <v>724</v>
      </c>
      <c r="N68" s="7" t="s">
        <v>896</v>
      </c>
      <c r="O68" s="13" t="s">
        <v>41</v>
      </c>
    </row>
    <row r="69" ht="15.75" customHeight="1">
      <c r="A69" s="7">
        <v>65.0</v>
      </c>
      <c r="B69" s="8" t="s">
        <v>365</v>
      </c>
      <c r="C69" s="7" t="s">
        <v>901</v>
      </c>
      <c r="D69" s="7" t="s">
        <v>849</v>
      </c>
      <c r="E69" s="10" t="s">
        <v>902</v>
      </c>
      <c r="F69" s="10" t="s">
        <v>903</v>
      </c>
      <c r="G69" s="8" t="s">
        <v>441</v>
      </c>
      <c r="H69" s="13" t="s">
        <v>442</v>
      </c>
      <c r="I69" s="10" t="s">
        <v>904</v>
      </c>
      <c r="J69" s="7">
        <v>5.0</v>
      </c>
      <c r="K69" s="10" t="s">
        <v>464</v>
      </c>
      <c r="L69" s="24" t="s">
        <v>724</v>
      </c>
      <c r="M69" s="24" t="s">
        <v>724</v>
      </c>
      <c r="N69" s="7" t="s">
        <v>896</v>
      </c>
      <c r="O69" s="13" t="s">
        <v>41</v>
      </c>
    </row>
    <row r="70" ht="15.75" customHeight="1">
      <c r="A70" s="7">
        <v>66.0</v>
      </c>
      <c r="B70" s="8" t="s">
        <v>365</v>
      </c>
      <c r="C70" s="7" t="s">
        <v>907</v>
      </c>
      <c r="D70" s="7" t="s">
        <v>849</v>
      </c>
      <c r="E70" s="10" t="s">
        <v>908</v>
      </c>
      <c r="F70" s="10" t="s">
        <v>909</v>
      </c>
      <c r="G70" s="8" t="s">
        <v>498</v>
      </c>
      <c r="H70" s="13" t="s">
        <v>41</v>
      </c>
      <c r="I70" s="10"/>
      <c r="J70" s="7">
        <v>8.0</v>
      </c>
      <c r="K70" s="10" t="s">
        <v>589</v>
      </c>
      <c r="L70" s="24" t="s">
        <v>724</v>
      </c>
      <c r="M70" s="24" t="s">
        <v>724</v>
      </c>
      <c r="N70" s="7" t="s">
        <v>684</v>
      </c>
      <c r="O70" s="13" t="s">
        <v>41</v>
      </c>
    </row>
    <row r="71" ht="15.75" customHeight="1">
      <c r="A71" s="7">
        <v>67.0</v>
      </c>
      <c r="B71" s="8" t="s">
        <v>365</v>
      </c>
      <c r="C71" s="7" t="s">
        <v>913</v>
      </c>
      <c r="D71" s="7" t="s">
        <v>849</v>
      </c>
      <c r="E71" s="10" t="s">
        <v>914</v>
      </c>
      <c r="F71" s="10" t="s">
        <v>691</v>
      </c>
      <c r="G71" s="8" t="s">
        <v>692</v>
      </c>
      <c r="H71" s="13" t="s">
        <v>41</v>
      </c>
      <c r="I71" s="10"/>
      <c r="J71" s="7">
        <v>9.0</v>
      </c>
      <c r="K71" s="10" t="s">
        <v>607</v>
      </c>
      <c r="L71" s="24" t="s">
        <v>724</v>
      </c>
      <c r="M71" s="24" t="s">
        <v>724</v>
      </c>
      <c r="N71" s="7" t="s">
        <v>695</v>
      </c>
      <c r="O71" s="13" t="s">
        <v>41</v>
      </c>
    </row>
    <row r="72" ht="15.75" customHeight="1">
      <c r="A72" s="7">
        <v>68.0</v>
      </c>
      <c r="B72" s="8" t="s">
        <v>365</v>
      </c>
      <c r="C72" s="7" t="s">
        <v>915</v>
      </c>
      <c r="D72" s="7" t="s">
        <v>849</v>
      </c>
      <c r="E72" s="10" t="s">
        <v>839</v>
      </c>
      <c r="F72" s="10" t="s">
        <v>878</v>
      </c>
      <c r="G72" s="8" t="s">
        <v>776</v>
      </c>
      <c r="H72" s="13" t="s">
        <v>41</v>
      </c>
      <c r="I72" s="10"/>
      <c r="J72" s="7">
        <v>10.0</v>
      </c>
      <c r="K72" s="10" t="s">
        <v>631</v>
      </c>
      <c r="L72" s="24" t="s">
        <v>724</v>
      </c>
      <c r="M72" s="24" t="s">
        <v>724</v>
      </c>
      <c r="N72" s="7" t="s">
        <v>919</v>
      </c>
      <c r="O72" s="13" t="s">
        <v>41</v>
      </c>
    </row>
    <row r="73" ht="15.75" customHeight="1">
      <c r="A73" s="7">
        <v>69.0</v>
      </c>
      <c r="B73" s="8" t="s">
        <v>365</v>
      </c>
      <c r="C73" s="7" t="s">
        <v>922</v>
      </c>
      <c r="D73" s="7" t="s">
        <v>849</v>
      </c>
      <c r="E73" s="10" t="s">
        <v>844</v>
      </c>
      <c r="F73" s="10" t="s">
        <v>878</v>
      </c>
      <c r="G73" s="8" t="s">
        <v>441</v>
      </c>
      <c r="H73" s="13" t="s">
        <v>41</v>
      </c>
      <c r="I73" s="10"/>
      <c r="J73" s="7">
        <v>11.0</v>
      </c>
      <c r="K73" s="10" t="s">
        <v>676</v>
      </c>
      <c r="L73" s="24" t="s">
        <v>724</v>
      </c>
      <c r="M73" s="24" t="s">
        <v>724</v>
      </c>
      <c r="N73" s="7" t="s">
        <v>927</v>
      </c>
      <c r="O73" s="13" t="s">
        <v>41</v>
      </c>
    </row>
    <row r="74" ht="15.75" customHeight="1">
      <c r="A74" s="7">
        <v>70.0</v>
      </c>
      <c r="B74" s="8" t="s">
        <v>366</v>
      </c>
      <c r="C74" s="7" t="s">
        <v>929</v>
      </c>
      <c r="D74" s="7" t="s">
        <v>370</v>
      </c>
      <c r="E74" s="10" t="s">
        <v>931</v>
      </c>
      <c r="F74" s="10" t="s">
        <v>264</v>
      </c>
      <c r="G74" s="8" t="s">
        <v>932</v>
      </c>
      <c r="H74" s="13" t="s">
        <v>41</v>
      </c>
      <c r="I74" s="10" t="s">
        <v>933</v>
      </c>
      <c r="J74" s="7">
        <v>9.0</v>
      </c>
      <c r="K74" s="10" t="s">
        <v>607</v>
      </c>
      <c r="L74" s="7" t="s">
        <v>609</v>
      </c>
      <c r="M74" s="7" t="s">
        <v>694</v>
      </c>
      <c r="N74" s="7" t="s">
        <v>695</v>
      </c>
      <c r="O74" s="13" t="s">
        <v>41</v>
      </c>
    </row>
    <row r="75" ht="15.75" customHeight="1">
      <c r="A75" s="7">
        <v>71.0</v>
      </c>
      <c r="B75" s="8" t="s">
        <v>366</v>
      </c>
      <c r="C75" s="7" t="s">
        <v>934</v>
      </c>
      <c r="D75" s="7" t="s">
        <v>370</v>
      </c>
      <c r="E75" s="10" t="s">
        <v>935</v>
      </c>
      <c r="F75" s="10" t="s">
        <v>704</v>
      </c>
      <c r="G75" s="8" t="s">
        <v>579</v>
      </c>
      <c r="H75" s="13" t="s">
        <v>41</v>
      </c>
      <c r="I75" s="10"/>
      <c r="J75" s="7">
        <v>9.0</v>
      </c>
      <c r="K75" s="10" t="s">
        <v>607</v>
      </c>
      <c r="L75" s="7" t="s">
        <v>609</v>
      </c>
      <c r="M75" s="7" t="s">
        <v>694</v>
      </c>
      <c r="N75" s="7" t="s">
        <v>695</v>
      </c>
      <c r="O75" s="13" t="s">
        <v>41</v>
      </c>
    </row>
    <row r="76" ht="15.75" customHeight="1">
      <c r="A76" s="7">
        <v>72.0</v>
      </c>
      <c r="B76" s="8" t="s">
        <v>366</v>
      </c>
      <c r="C76" s="7" t="s">
        <v>936</v>
      </c>
      <c r="D76" s="7" t="s">
        <v>370</v>
      </c>
      <c r="E76" s="10" t="s">
        <v>937</v>
      </c>
      <c r="F76" s="10" t="s">
        <v>280</v>
      </c>
      <c r="G76" s="8" t="s">
        <v>939</v>
      </c>
      <c r="H76" s="13" t="s">
        <v>41</v>
      </c>
      <c r="I76" s="10"/>
      <c r="J76" s="7">
        <v>9.0</v>
      </c>
      <c r="K76" s="10" t="s">
        <v>607</v>
      </c>
      <c r="L76" s="7" t="s">
        <v>609</v>
      </c>
      <c r="M76" s="7" t="s">
        <v>694</v>
      </c>
      <c r="N76" s="7" t="s">
        <v>695</v>
      </c>
      <c r="O76" s="13" t="s">
        <v>41</v>
      </c>
    </row>
    <row r="77" ht="15.75" customHeight="1">
      <c r="A77" s="7">
        <v>73.0</v>
      </c>
      <c r="B77" s="8" t="s">
        <v>366</v>
      </c>
      <c r="C77" s="7" t="s">
        <v>941</v>
      </c>
      <c r="D77" s="7" t="s">
        <v>370</v>
      </c>
      <c r="E77" s="10" t="s">
        <v>943</v>
      </c>
      <c r="F77" s="10" t="s">
        <v>407</v>
      </c>
      <c r="G77" s="8" t="s">
        <v>408</v>
      </c>
      <c r="H77" s="13" t="s">
        <v>41</v>
      </c>
      <c r="I77" s="10"/>
      <c r="J77" s="7">
        <v>9.0</v>
      </c>
      <c r="K77" s="10" t="s">
        <v>607</v>
      </c>
      <c r="L77" s="7" t="s">
        <v>609</v>
      </c>
      <c r="M77" s="7" t="s">
        <v>694</v>
      </c>
      <c r="N77" s="7" t="s">
        <v>695</v>
      </c>
      <c r="O77" s="13" t="s">
        <v>41</v>
      </c>
    </row>
    <row r="78" ht="15.75" customHeight="1">
      <c r="A78" s="7">
        <v>74.0</v>
      </c>
      <c r="B78" s="8" t="s">
        <v>366</v>
      </c>
      <c r="C78" s="7" t="s">
        <v>946</v>
      </c>
      <c r="D78" s="7" t="s">
        <v>370</v>
      </c>
      <c r="E78" s="10" t="s">
        <v>947</v>
      </c>
      <c r="F78" s="10" t="s">
        <v>407</v>
      </c>
      <c r="G78" s="8" t="s">
        <v>408</v>
      </c>
      <c r="H78" s="13" t="s">
        <v>41</v>
      </c>
      <c r="I78" s="10"/>
      <c r="J78" s="7">
        <v>9.0</v>
      </c>
      <c r="K78" s="10" t="s">
        <v>607</v>
      </c>
      <c r="L78" s="7" t="s">
        <v>609</v>
      </c>
      <c r="M78" s="7" t="s">
        <v>694</v>
      </c>
      <c r="N78" s="7" t="s">
        <v>695</v>
      </c>
      <c r="O78" s="13" t="s">
        <v>41</v>
      </c>
    </row>
    <row r="79" ht="15.75" customHeight="1">
      <c r="A79" s="7">
        <v>75.0</v>
      </c>
      <c r="B79" s="8" t="s">
        <v>366</v>
      </c>
      <c r="C79" s="7" t="s">
        <v>950</v>
      </c>
      <c r="D79" s="7" t="s">
        <v>370</v>
      </c>
      <c r="E79" s="10" t="s">
        <v>951</v>
      </c>
      <c r="F79" s="10" t="s">
        <v>952</v>
      </c>
      <c r="G79" s="8" t="s">
        <v>441</v>
      </c>
      <c r="H79" s="13" t="s">
        <v>41</v>
      </c>
      <c r="I79" s="10"/>
      <c r="J79" s="7">
        <v>9.0</v>
      </c>
      <c r="K79" s="10" t="s">
        <v>607</v>
      </c>
      <c r="L79" s="7" t="s">
        <v>609</v>
      </c>
      <c r="M79" s="7" t="s">
        <v>694</v>
      </c>
      <c r="N79" s="7" t="s">
        <v>695</v>
      </c>
      <c r="O79" s="13" t="s">
        <v>41</v>
      </c>
    </row>
    <row r="80" ht="15.75" customHeight="1">
      <c r="A80" s="7">
        <v>76.0</v>
      </c>
      <c r="B80" s="8" t="s">
        <v>366</v>
      </c>
      <c r="C80" s="7" t="s">
        <v>954</v>
      </c>
      <c r="D80" s="7" t="s">
        <v>370</v>
      </c>
      <c r="E80" s="10" t="s">
        <v>955</v>
      </c>
      <c r="F80" s="10" t="s">
        <v>407</v>
      </c>
      <c r="G80" s="8" t="s">
        <v>579</v>
      </c>
      <c r="H80" s="13" t="s">
        <v>41</v>
      </c>
      <c r="I80" s="10"/>
      <c r="J80" s="7">
        <v>9.0</v>
      </c>
      <c r="K80" s="10" t="s">
        <v>607</v>
      </c>
      <c r="L80" s="7" t="s">
        <v>609</v>
      </c>
      <c r="M80" s="7" t="s">
        <v>694</v>
      </c>
      <c r="N80" s="7" t="s">
        <v>695</v>
      </c>
      <c r="O80" s="13" t="s">
        <v>41</v>
      </c>
    </row>
    <row r="81" ht="15.75" customHeight="1">
      <c r="A81" s="7">
        <v>77.0</v>
      </c>
      <c r="B81" s="8" t="s">
        <v>366</v>
      </c>
      <c r="C81" s="7" t="s">
        <v>958</v>
      </c>
      <c r="D81" s="7" t="s">
        <v>370</v>
      </c>
      <c r="E81" s="10" t="s">
        <v>959</v>
      </c>
      <c r="F81" s="10" t="s">
        <v>691</v>
      </c>
      <c r="G81" s="8" t="s">
        <v>498</v>
      </c>
      <c r="H81" s="13" t="s">
        <v>41</v>
      </c>
      <c r="I81" s="10" t="s">
        <v>960</v>
      </c>
      <c r="J81" s="7">
        <v>9.0</v>
      </c>
      <c r="K81" s="10" t="s">
        <v>607</v>
      </c>
      <c r="L81" s="7" t="s">
        <v>609</v>
      </c>
      <c r="M81" s="7" t="s">
        <v>694</v>
      </c>
      <c r="N81" s="7" t="s">
        <v>695</v>
      </c>
      <c r="O81" s="13" t="s">
        <v>41</v>
      </c>
    </row>
    <row r="82" ht="15.75" customHeight="1">
      <c r="A82" s="7">
        <v>78.0</v>
      </c>
      <c r="B82" s="8" t="s">
        <v>366</v>
      </c>
      <c r="C82" s="7" t="s">
        <v>962</v>
      </c>
      <c r="D82" s="7" t="s">
        <v>370</v>
      </c>
      <c r="E82" s="10" t="s">
        <v>611</v>
      </c>
      <c r="F82" s="10" t="s">
        <v>691</v>
      </c>
      <c r="G82" s="8" t="s">
        <v>963</v>
      </c>
      <c r="H82" s="13" t="s">
        <v>41</v>
      </c>
      <c r="I82" s="10" t="s">
        <v>965</v>
      </c>
      <c r="J82" s="7">
        <v>9.0</v>
      </c>
      <c r="K82" s="10" t="s">
        <v>607</v>
      </c>
      <c r="L82" s="7" t="s">
        <v>609</v>
      </c>
      <c r="M82" s="7" t="s">
        <v>694</v>
      </c>
      <c r="N82" s="7" t="s">
        <v>695</v>
      </c>
      <c r="O82" s="13" t="s">
        <v>41</v>
      </c>
    </row>
    <row r="83" ht="15.75" customHeight="1">
      <c r="A83" s="7">
        <v>79.0</v>
      </c>
      <c r="B83" s="8" t="s">
        <v>366</v>
      </c>
      <c r="C83" s="7" t="s">
        <v>967</v>
      </c>
      <c r="D83" s="7" t="s">
        <v>370</v>
      </c>
      <c r="E83" s="10" t="s">
        <v>968</v>
      </c>
      <c r="F83" s="10" t="s">
        <v>969</v>
      </c>
      <c r="G83" s="8" t="s">
        <v>750</v>
      </c>
      <c r="H83" s="13" t="s">
        <v>41</v>
      </c>
      <c r="I83" s="10"/>
      <c r="J83" s="7">
        <v>9.0</v>
      </c>
      <c r="K83" s="10" t="s">
        <v>607</v>
      </c>
      <c r="L83" s="7" t="s">
        <v>609</v>
      </c>
      <c r="M83" s="7" t="s">
        <v>694</v>
      </c>
      <c r="N83" s="7" t="s">
        <v>695</v>
      </c>
      <c r="O83" s="13" t="s">
        <v>41</v>
      </c>
    </row>
    <row r="84" ht="15.75" customHeight="1">
      <c r="A84" s="7">
        <v>80.0</v>
      </c>
      <c r="B84" s="8" t="s">
        <v>367</v>
      </c>
      <c r="C84" s="7" t="s">
        <v>702</v>
      </c>
      <c r="D84" s="7" t="s">
        <v>370</v>
      </c>
      <c r="E84" s="10" t="s">
        <v>974</v>
      </c>
      <c r="F84" s="10" t="s">
        <v>699</v>
      </c>
      <c r="G84" s="8" t="s">
        <v>975</v>
      </c>
      <c r="H84" s="13" t="s">
        <v>41</v>
      </c>
      <c r="I84" s="10"/>
      <c r="J84" s="7">
        <v>12.0</v>
      </c>
      <c r="K84" s="10" t="s">
        <v>367</v>
      </c>
      <c r="L84" s="7" t="s">
        <v>696</v>
      </c>
      <c r="M84" s="7" t="s">
        <v>884</v>
      </c>
      <c r="N84" s="7" t="s">
        <v>976</v>
      </c>
      <c r="O84" s="13" t="s">
        <v>41</v>
      </c>
    </row>
    <row r="85" ht="15.75" customHeight="1">
      <c r="A85" s="7">
        <v>81.0</v>
      </c>
      <c r="B85" s="8" t="s">
        <v>367</v>
      </c>
      <c r="C85" s="7" t="s">
        <v>977</v>
      </c>
      <c r="D85" s="7" t="s">
        <v>370</v>
      </c>
      <c r="E85" s="10" t="s">
        <v>978</v>
      </c>
      <c r="F85" s="10" t="s">
        <v>979</v>
      </c>
      <c r="G85" s="8" t="s">
        <v>408</v>
      </c>
      <c r="H85" s="13" t="s">
        <v>41</v>
      </c>
      <c r="I85" s="10"/>
      <c r="J85" s="7">
        <v>12.0</v>
      </c>
      <c r="K85" s="10" t="s">
        <v>367</v>
      </c>
      <c r="L85" s="7" t="s">
        <v>706</v>
      </c>
      <c r="M85" s="7" t="s">
        <v>889</v>
      </c>
      <c r="N85" s="7" t="s">
        <v>981</v>
      </c>
      <c r="O85" s="13" t="s">
        <v>41</v>
      </c>
    </row>
    <row r="86" ht="15.75" customHeight="1">
      <c r="A86" s="7">
        <v>82.0</v>
      </c>
      <c r="B86" s="8" t="s">
        <v>367</v>
      </c>
      <c r="C86" s="7" t="s">
        <v>984</v>
      </c>
      <c r="D86" s="7" t="s">
        <v>370</v>
      </c>
      <c r="E86" s="10" t="s">
        <v>985</v>
      </c>
      <c r="F86" s="10" t="s">
        <v>979</v>
      </c>
      <c r="G86" s="8" t="s">
        <v>579</v>
      </c>
      <c r="H86" s="13" t="s">
        <v>442</v>
      </c>
      <c r="I86" s="10" t="s">
        <v>986</v>
      </c>
      <c r="J86" s="7">
        <v>12.0</v>
      </c>
      <c r="K86" s="10" t="s">
        <v>367</v>
      </c>
      <c r="L86" s="7" t="s">
        <v>706</v>
      </c>
      <c r="M86" s="7" t="s">
        <v>889</v>
      </c>
      <c r="N86" s="7" t="s">
        <v>981</v>
      </c>
      <c r="O86" s="13" t="s">
        <v>41</v>
      </c>
    </row>
    <row r="87" ht="15.75" customHeight="1">
      <c r="A87" s="7">
        <v>83.0</v>
      </c>
      <c r="B87" s="8" t="s">
        <v>367</v>
      </c>
      <c r="C87" s="7" t="s">
        <v>989</v>
      </c>
      <c r="D87" s="7" t="s">
        <v>370</v>
      </c>
      <c r="E87" s="10" t="s">
        <v>990</v>
      </c>
      <c r="F87" s="10" t="s">
        <v>991</v>
      </c>
      <c r="G87" s="8" t="s">
        <v>579</v>
      </c>
      <c r="H87" s="13" t="s">
        <v>41</v>
      </c>
      <c r="I87" s="10"/>
      <c r="J87" s="7">
        <v>12.0</v>
      </c>
      <c r="K87" s="10" t="s">
        <v>367</v>
      </c>
      <c r="L87" s="7" t="s">
        <v>706</v>
      </c>
      <c r="M87" s="7" t="s">
        <v>889</v>
      </c>
      <c r="N87" s="7" t="s">
        <v>981</v>
      </c>
      <c r="O87" s="13" t="s">
        <v>41</v>
      </c>
    </row>
    <row r="88" ht="15.75" customHeight="1">
      <c r="A88" s="7">
        <v>84.0</v>
      </c>
      <c r="B88" s="8" t="s">
        <v>367</v>
      </c>
      <c r="C88" s="7" t="s">
        <v>992</v>
      </c>
      <c r="D88" s="7" t="s">
        <v>370</v>
      </c>
      <c r="E88" s="10" t="s">
        <v>993</v>
      </c>
      <c r="F88" s="10" t="s">
        <v>264</v>
      </c>
      <c r="G88" s="8" t="s">
        <v>579</v>
      </c>
      <c r="H88" s="13" t="s">
        <v>41</v>
      </c>
      <c r="I88" s="10"/>
      <c r="J88" s="7">
        <v>12.0</v>
      </c>
      <c r="K88" s="10" t="s">
        <v>367</v>
      </c>
      <c r="L88" s="7" t="s">
        <v>706</v>
      </c>
      <c r="M88" s="7" t="s">
        <v>889</v>
      </c>
      <c r="N88" s="7" t="s">
        <v>981</v>
      </c>
      <c r="O88" s="13" t="s">
        <v>41</v>
      </c>
    </row>
    <row r="89" ht="15.75" customHeight="1">
      <c r="A89" s="7">
        <v>85.0</v>
      </c>
      <c r="B89" s="8" t="s">
        <v>367</v>
      </c>
      <c r="C89" s="7" t="s">
        <v>1000</v>
      </c>
      <c r="D89" s="7" t="s">
        <v>370</v>
      </c>
      <c r="E89" s="10" t="s">
        <v>1001</v>
      </c>
      <c r="F89" s="10" t="s">
        <v>559</v>
      </c>
      <c r="G89" s="8" t="s">
        <v>382</v>
      </c>
      <c r="H89" s="13" t="s">
        <v>41</v>
      </c>
      <c r="I89" s="10"/>
      <c r="J89" s="7">
        <v>12.0</v>
      </c>
      <c r="K89" s="10" t="s">
        <v>367</v>
      </c>
      <c r="L89" s="7" t="s">
        <v>706</v>
      </c>
      <c r="M89" s="7" t="s">
        <v>889</v>
      </c>
      <c r="N89" s="7" t="s">
        <v>981</v>
      </c>
      <c r="O89" s="13" t="s">
        <v>41</v>
      </c>
    </row>
    <row r="90" ht="15.75" customHeight="1">
      <c r="A90" s="7">
        <v>86.0</v>
      </c>
      <c r="B90" s="8" t="s">
        <v>367</v>
      </c>
      <c r="C90" s="7" t="s">
        <v>1005</v>
      </c>
      <c r="D90" s="7" t="s">
        <v>370</v>
      </c>
      <c r="E90" s="10" t="s">
        <v>1006</v>
      </c>
      <c r="F90" s="10" t="s">
        <v>1007</v>
      </c>
      <c r="G90" s="8" t="s">
        <v>490</v>
      </c>
      <c r="H90" s="13" t="s">
        <v>442</v>
      </c>
      <c r="I90" s="10" t="s">
        <v>1008</v>
      </c>
      <c r="J90" s="7">
        <v>12.0</v>
      </c>
      <c r="K90" s="10" t="s">
        <v>367</v>
      </c>
      <c r="L90" s="7" t="s">
        <v>706</v>
      </c>
      <c r="M90" s="7" t="s">
        <v>889</v>
      </c>
      <c r="N90" s="7" t="s">
        <v>981</v>
      </c>
      <c r="O90" s="13" t="s">
        <v>41</v>
      </c>
    </row>
    <row r="91" ht="15.75" customHeight="1">
      <c r="A91" s="7">
        <v>87.0</v>
      </c>
      <c r="B91" s="8" t="s">
        <v>367</v>
      </c>
      <c r="C91" s="7" t="s">
        <v>1012</v>
      </c>
      <c r="D91" s="7" t="s">
        <v>370</v>
      </c>
      <c r="E91" s="10" t="s">
        <v>1013</v>
      </c>
      <c r="F91" s="10" t="s">
        <v>1014</v>
      </c>
      <c r="G91" s="8" t="s">
        <v>441</v>
      </c>
      <c r="H91" s="13" t="s">
        <v>41</v>
      </c>
      <c r="I91" s="10"/>
      <c r="J91" s="7">
        <v>12.0</v>
      </c>
      <c r="K91" s="10" t="s">
        <v>367</v>
      </c>
      <c r="L91" s="7" t="s">
        <v>706</v>
      </c>
      <c r="M91" s="7" t="s">
        <v>889</v>
      </c>
      <c r="N91" s="7" t="s">
        <v>981</v>
      </c>
      <c r="O91" s="13" t="s">
        <v>41</v>
      </c>
    </row>
    <row r="92" ht="15.75" customHeight="1">
      <c r="A92" s="7">
        <v>88.0</v>
      </c>
      <c r="B92" s="8" t="s">
        <v>367</v>
      </c>
      <c r="C92" s="7" t="s">
        <v>1016</v>
      </c>
      <c r="D92" s="7" t="s">
        <v>370</v>
      </c>
      <c r="E92" s="10" t="s">
        <v>1017</v>
      </c>
      <c r="F92" s="10" t="s">
        <v>1018</v>
      </c>
      <c r="G92" s="8" t="s">
        <v>1019</v>
      </c>
      <c r="H92" s="13" t="s">
        <v>41</v>
      </c>
      <c r="I92" s="10"/>
      <c r="J92" s="7">
        <v>12.0</v>
      </c>
      <c r="K92" s="10" t="s">
        <v>367</v>
      </c>
      <c r="L92" s="7" t="s">
        <v>706</v>
      </c>
      <c r="M92" s="7" t="s">
        <v>889</v>
      </c>
      <c r="N92" s="7" t="s">
        <v>981</v>
      </c>
      <c r="O92" s="13" t="s">
        <v>41</v>
      </c>
    </row>
    <row r="93" ht="15.75" customHeight="1">
      <c r="A93" s="7">
        <v>89.0</v>
      </c>
      <c r="B93" s="8" t="s">
        <v>367</v>
      </c>
      <c r="C93" s="7" t="s">
        <v>1021</v>
      </c>
      <c r="D93" s="7" t="s">
        <v>370</v>
      </c>
      <c r="E93" s="10" t="s">
        <v>1023</v>
      </c>
      <c r="F93" s="10" t="s">
        <v>264</v>
      </c>
      <c r="G93" s="8" t="s">
        <v>932</v>
      </c>
      <c r="H93" s="13" t="s">
        <v>41</v>
      </c>
      <c r="I93" s="10"/>
      <c r="J93" s="7">
        <v>12.0</v>
      </c>
      <c r="K93" s="10" t="s">
        <v>367</v>
      </c>
      <c r="L93" s="7" t="s">
        <v>706</v>
      </c>
      <c r="M93" s="7" t="s">
        <v>889</v>
      </c>
      <c r="N93" s="7" t="s">
        <v>981</v>
      </c>
      <c r="O93" s="13" t="s">
        <v>41</v>
      </c>
    </row>
    <row r="94" ht="15.75" customHeight="1">
      <c r="A94" s="7">
        <v>90.0</v>
      </c>
      <c r="B94" s="8" t="s">
        <v>367</v>
      </c>
      <c r="C94" s="7" t="s">
        <v>1026</v>
      </c>
      <c r="D94" s="7" t="s">
        <v>370</v>
      </c>
      <c r="E94" s="10" t="s">
        <v>1027</v>
      </c>
      <c r="F94" s="10" t="s">
        <v>1028</v>
      </c>
      <c r="G94" s="8" t="s">
        <v>441</v>
      </c>
      <c r="H94" s="13" t="s">
        <v>41</v>
      </c>
      <c r="I94" s="10"/>
      <c r="J94" s="7">
        <v>12.0</v>
      </c>
      <c r="K94" s="10" t="s">
        <v>367</v>
      </c>
      <c r="L94" s="7" t="s">
        <v>706</v>
      </c>
      <c r="M94" s="7" t="s">
        <v>889</v>
      </c>
      <c r="N94" s="7" t="s">
        <v>981</v>
      </c>
      <c r="O94" s="13" t="s">
        <v>41</v>
      </c>
    </row>
    <row r="95" ht="15.75" customHeight="1">
      <c r="A95" s="7">
        <v>91.0</v>
      </c>
      <c r="B95" s="8" t="s">
        <v>367</v>
      </c>
      <c r="C95" s="7" t="s">
        <v>1030</v>
      </c>
      <c r="D95" s="7" t="s">
        <v>370</v>
      </c>
      <c r="E95" s="10" t="s">
        <v>1032</v>
      </c>
      <c r="F95" s="10" t="s">
        <v>979</v>
      </c>
      <c r="G95" s="8" t="s">
        <v>1019</v>
      </c>
      <c r="H95" s="13" t="s">
        <v>41</v>
      </c>
      <c r="I95" s="10"/>
      <c r="J95" s="7">
        <v>12.0</v>
      </c>
      <c r="K95" s="10" t="s">
        <v>367</v>
      </c>
      <c r="L95" s="7" t="s">
        <v>706</v>
      </c>
      <c r="M95" s="7" t="s">
        <v>889</v>
      </c>
      <c r="N95" s="7" t="s">
        <v>981</v>
      </c>
      <c r="O95" s="13" t="s">
        <v>41</v>
      </c>
    </row>
    <row r="96" ht="15.75" customHeight="1">
      <c r="A96" s="7">
        <v>92.0</v>
      </c>
      <c r="B96" s="8" t="s">
        <v>367</v>
      </c>
      <c r="C96" s="7" t="s">
        <v>1034</v>
      </c>
      <c r="D96" s="7" t="s">
        <v>370</v>
      </c>
      <c r="E96" s="10" t="s">
        <v>1035</v>
      </c>
      <c r="F96" s="10" t="s">
        <v>979</v>
      </c>
      <c r="G96" s="8" t="s">
        <v>1019</v>
      </c>
      <c r="H96" s="13" t="s">
        <v>41</v>
      </c>
      <c r="I96" s="10" t="s">
        <v>1037</v>
      </c>
      <c r="J96" s="7">
        <v>12.0</v>
      </c>
      <c r="K96" s="10" t="s">
        <v>367</v>
      </c>
      <c r="L96" s="7" t="s">
        <v>706</v>
      </c>
      <c r="M96" s="7" t="s">
        <v>889</v>
      </c>
      <c r="N96" s="7" t="s">
        <v>981</v>
      </c>
      <c r="O96" s="13" t="s">
        <v>41</v>
      </c>
    </row>
    <row r="97" ht="15.75" customHeight="1">
      <c r="A97" s="7">
        <v>93.0</v>
      </c>
      <c r="B97" s="8" t="s">
        <v>367</v>
      </c>
      <c r="C97" s="7" t="s">
        <v>1039</v>
      </c>
      <c r="D97" s="7" t="s">
        <v>370</v>
      </c>
      <c r="E97" s="10" t="s">
        <v>1040</v>
      </c>
      <c r="F97" s="10" t="s">
        <v>1041</v>
      </c>
      <c r="G97" s="8" t="s">
        <v>498</v>
      </c>
      <c r="H97" s="13" t="s">
        <v>41</v>
      </c>
      <c r="I97" s="10"/>
      <c r="J97" s="7">
        <v>12.0</v>
      </c>
      <c r="K97" s="10" t="s">
        <v>367</v>
      </c>
      <c r="L97" s="7" t="s">
        <v>706</v>
      </c>
      <c r="M97" s="7" t="s">
        <v>889</v>
      </c>
      <c r="N97" s="7" t="s">
        <v>981</v>
      </c>
      <c r="O97" s="13" t="s">
        <v>41</v>
      </c>
    </row>
    <row r="98" ht="15.75" customHeight="1">
      <c r="A98" s="7">
        <v>94.0</v>
      </c>
      <c r="B98" s="8" t="s">
        <v>367</v>
      </c>
      <c r="C98" s="7" t="s">
        <v>1045</v>
      </c>
      <c r="D98" s="7" t="s">
        <v>370</v>
      </c>
      <c r="E98" s="10" t="s">
        <v>1046</v>
      </c>
      <c r="F98" s="10" t="s">
        <v>711</v>
      </c>
      <c r="G98" s="8" t="s">
        <v>441</v>
      </c>
      <c r="H98" s="13" t="s">
        <v>41</v>
      </c>
      <c r="I98" s="10" t="s">
        <v>1048</v>
      </c>
      <c r="J98" s="7">
        <v>12.0</v>
      </c>
      <c r="K98" s="10" t="s">
        <v>367</v>
      </c>
      <c r="L98" s="7" t="s">
        <v>706</v>
      </c>
      <c r="M98" s="7" t="s">
        <v>889</v>
      </c>
      <c r="N98" s="7" t="s">
        <v>981</v>
      </c>
      <c r="O98" s="13" t="s">
        <v>41</v>
      </c>
    </row>
    <row r="99" ht="15.75" customHeight="1">
      <c r="A99" s="7">
        <v>95.0</v>
      </c>
      <c r="B99" s="8" t="s">
        <v>368</v>
      </c>
      <c r="C99" s="7" t="s">
        <v>1052</v>
      </c>
      <c r="D99" s="7" t="s">
        <v>370</v>
      </c>
      <c r="E99" s="10" t="s">
        <v>1053</v>
      </c>
      <c r="F99" s="10" t="s">
        <v>991</v>
      </c>
      <c r="G99" s="8" t="s">
        <v>579</v>
      </c>
      <c r="H99" s="13" t="s">
        <v>41</v>
      </c>
      <c r="I99" s="10" t="s">
        <v>1056</v>
      </c>
      <c r="J99" s="7">
        <v>13.0</v>
      </c>
      <c r="K99" s="10" t="s">
        <v>717</v>
      </c>
      <c r="L99" s="7" t="s">
        <v>725</v>
      </c>
      <c r="M99" s="7" t="s">
        <v>905</v>
      </c>
      <c r="N99" s="7" t="s">
        <v>1058</v>
      </c>
      <c r="O99" s="13" t="s">
        <v>41</v>
      </c>
    </row>
    <row r="100" ht="15.75" customHeight="1">
      <c r="A100" s="7">
        <v>96.0</v>
      </c>
      <c r="B100" s="8" t="s">
        <v>368</v>
      </c>
      <c r="C100" s="7" t="s">
        <v>1050</v>
      </c>
      <c r="D100" s="7" t="s">
        <v>370</v>
      </c>
      <c r="E100" s="10" t="s">
        <v>844</v>
      </c>
      <c r="F100" s="10" t="s">
        <v>1059</v>
      </c>
      <c r="G100" s="8" t="s">
        <v>579</v>
      </c>
      <c r="H100" s="13" t="s">
        <v>41</v>
      </c>
      <c r="I100" s="10"/>
      <c r="J100" s="7">
        <v>11.0</v>
      </c>
      <c r="K100" s="10" t="s">
        <v>676</v>
      </c>
      <c r="L100" s="7" t="s">
        <v>677</v>
      </c>
      <c r="M100" s="7" t="s">
        <v>845</v>
      </c>
      <c r="N100" s="7" t="s">
        <v>927</v>
      </c>
      <c r="O100" s="13" t="s">
        <v>41</v>
      </c>
    </row>
    <row r="101" ht="15.75" customHeight="1">
      <c r="A101" s="7">
        <v>97.0</v>
      </c>
      <c r="B101" s="8" t="s">
        <v>368</v>
      </c>
      <c r="C101" s="7" t="s">
        <v>1061</v>
      </c>
      <c r="D101" s="7" t="s">
        <v>370</v>
      </c>
      <c r="E101" s="10" t="s">
        <v>1063</v>
      </c>
      <c r="F101" s="10" t="s">
        <v>711</v>
      </c>
      <c r="G101" s="8" t="s">
        <v>579</v>
      </c>
      <c r="H101" s="13" t="s">
        <v>442</v>
      </c>
      <c r="I101" s="10" t="s">
        <v>1064</v>
      </c>
      <c r="J101" s="7">
        <v>12.0</v>
      </c>
      <c r="K101" s="10" t="s">
        <v>367</v>
      </c>
      <c r="L101" s="7" t="s">
        <v>706</v>
      </c>
      <c r="M101" s="7" t="s">
        <v>889</v>
      </c>
      <c r="N101" s="7" t="s">
        <v>981</v>
      </c>
      <c r="O101" s="13" t="s">
        <v>41</v>
      </c>
    </row>
    <row r="102" ht="15.75" customHeight="1">
      <c r="A102" s="7">
        <v>98.0</v>
      </c>
      <c r="B102" s="8" t="s">
        <v>368</v>
      </c>
      <c r="C102" s="7" t="s">
        <v>1067</v>
      </c>
      <c r="D102" s="7" t="s">
        <v>370</v>
      </c>
      <c r="E102" s="10" t="s">
        <v>1069</v>
      </c>
      <c r="F102" s="10" t="s">
        <v>979</v>
      </c>
      <c r="G102" s="8" t="s">
        <v>579</v>
      </c>
      <c r="H102" s="13" t="s">
        <v>41</v>
      </c>
      <c r="I102" s="10"/>
      <c r="J102" s="7">
        <v>13.0</v>
      </c>
      <c r="K102" s="10" t="s">
        <v>717</v>
      </c>
      <c r="L102" s="7" t="s">
        <v>725</v>
      </c>
      <c r="M102" s="7" t="s">
        <v>905</v>
      </c>
      <c r="N102" s="7" t="s">
        <v>1058</v>
      </c>
      <c r="O102" s="13" t="s">
        <v>41</v>
      </c>
    </row>
    <row r="103" ht="15.75" customHeight="1">
      <c r="A103" s="7">
        <v>99.0</v>
      </c>
      <c r="B103" s="8" t="s">
        <v>368</v>
      </c>
      <c r="C103" s="7" t="s">
        <v>723</v>
      </c>
      <c r="D103" s="7" t="s">
        <v>370</v>
      </c>
      <c r="E103" s="10" t="s">
        <v>1072</v>
      </c>
      <c r="F103" s="10" t="s">
        <v>745</v>
      </c>
      <c r="G103" s="8" t="s">
        <v>579</v>
      </c>
      <c r="H103" s="13" t="s">
        <v>41</v>
      </c>
      <c r="I103" s="10"/>
      <c r="J103" s="7">
        <v>13.0</v>
      </c>
      <c r="K103" s="10" t="s">
        <v>717</v>
      </c>
      <c r="L103" s="7" t="s">
        <v>718</v>
      </c>
      <c r="M103" s="7" t="s">
        <v>895</v>
      </c>
      <c r="N103" s="7" t="s">
        <v>1062</v>
      </c>
      <c r="O103" s="13" t="s">
        <v>41</v>
      </c>
    </row>
    <row r="104" ht="15.75" customHeight="1">
      <c r="A104" s="7">
        <v>100.0</v>
      </c>
      <c r="B104" s="8" t="s">
        <v>368</v>
      </c>
      <c r="C104" s="7" t="s">
        <v>1074</v>
      </c>
      <c r="D104" s="7" t="s">
        <v>370</v>
      </c>
      <c r="E104" s="10" t="s">
        <v>1075</v>
      </c>
      <c r="F104" s="10" t="s">
        <v>1076</v>
      </c>
      <c r="G104" s="8" t="s">
        <v>408</v>
      </c>
      <c r="H104" s="13" t="s">
        <v>41</v>
      </c>
      <c r="I104" s="10"/>
      <c r="J104" s="7">
        <v>13.0</v>
      </c>
      <c r="K104" s="10" t="s">
        <v>717</v>
      </c>
      <c r="L104" s="7" t="s">
        <v>725</v>
      </c>
      <c r="M104" s="7" t="s">
        <v>905</v>
      </c>
      <c r="N104" s="7" t="s">
        <v>1058</v>
      </c>
      <c r="O104" s="13" t="s">
        <v>41</v>
      </c>
    </row>
    <row r="105" ht="15.75" customHeight="1">
      <c r="A105" s="7">
        <v>101.0</v>
      </c>
      <c r="B105" s="8" t="s">
        <v>368</v>
      </c>
      <c r="C105" s="7" t="s">
        <v>1078</v>
      </c>
      <c r="D105" s="7" t="s">
        <v>370</v>
      </c>
      <c r="E105" s="10" t="s">
        <v>1079</v>
      </c>
      <c r="F105" s="10" t="s">
        <v>979</v>
      </c>
      <c r="G105" s="8" t="s">
        <v>441</v>
      </c>
      <c r="H105" s="13" t="s">
        <v>41</v>
      </c>
      <c r="I105" s="10" t="s">
        <v>1080</v>
      </c>
      <c r="J105" s="7">
        <v>13.0</v>
      </c>
      <c r="K105" s="10" t="s">
        <v>717</v>
      </c>
      <c r="L105" s="7" t="s">
        <v>725</v>
      </c>
      <c r="M105" s="7" t="s">
        <v>905</v>
      </c>
      <c r="N105" s="7" t="s">
        <v>1058</v>
      </c>
      <c r="O105" s="13" t="s">
        <v>41</v>
      </c>
    </row>
    <row r="106" ht="15.75" customHeight="1">
      <c r="A106" s="7">
        <v>102.0</v>
      </c>
      <c r="B106" s="8" t="s">
        <v>368</v>
      </c>
      <c r="C106" s="7" t="s">
        <v>1082</v>
      </c>
      <c r="D106" s="7" t="s">
        <v>370</v>
      </c>
      <c r="E106" s="10" t="s">
        <v>1083</v>
      </c>
      <c r="F106" s="10" t="s">
        <v>979</v>
      </c>
      <c r="G106" s="8" t="s">
        <v>441</v>
      </c>
      <c r="H106" s="13" t="s">
        <v>41</v>
      </c>
      <c r="I106" s="10"/>
      <c r="J106" s="7">
        <v>13.0</v>
      </c>
      <c r="K106" s="10" t="s">
        <v>717</v>
      </c>
      <c r="L106" s="7" t="s">
        <v>725</v>
      </c>
      <c r="M106" s="7" t="s">
        <v>905</v>
      </c>
      <c r="N106" s="7" t="s">
        <v>1058</v>
      </c>
      <c r="O106" s="13" t="s">
        <v>41</v>
      </c>
    </row>
    <row r="107" ht="15.75" customHeight="1">
      <c r="A107" s="7">
        <v>103.0</v>
      </c>
      <c r="B107" s="8" t="s">
        <v>368</v>
      </c>
      <c r="C107" s="7" t="s">
        <v>1084</v>
      </c>
      <c r="D107" s="7" t="s">
        <v>370</v>
      </c>
      <c r="E107" s="10" t="s">
        <v>1085</v>
      </c>
      <c r="F107" s="10" t="s">
        <v>1087</v>
      </c>
      <c r="G107" s="8" t="s">
        <v>1089</v>
      </c>
      <c r="H107" s="13" t="s">
        <v>41</v>
      </c>
      <c r="I107" s="10" t="s">
        <v>1090</v>
      </c>
      <c r="J107" s="7">
        <v>13.0</v>
      </c>
      <c r="K107" s="10" t="s">
        <v>717</v>
      </c>
      <c r="L107" s="7" t="s">
        <v>725</v>
      </c>
      <c r="M107" s="7" t="s">
        <v>905</v>
      </c>
      <c r="N107" s="7" t="s">
        <v>1058</v>
      </c>
      <c r="O107" s="13" t="s">
        <v>41</v>
      </c>
    </row>
    <row r="108" ht="15.75" customHeight="1">
      <c r="A108" s="7">
        <v>104.0</v>
      </c>
      <c r="B108" s="8" t="s">
        <v>368</v>
      </c>
      <c r="C108" s="7" t="s">
        <v>1086</v>
      </c>
      <c r="D108" s="7" t="s">
        <v>370</v>
      </c>
      <c r="E108" s="10" t="s">
        <v>1088</v>
      </c>
      <c r="F108" s="10" t="s">
        <v>979</v>
      </c>
      <c r="G108" s="8" t="s">
        <v>498</v>
      </c>
      <c r="H108" s="13" t="s">
        <v>41</v>
      </c>
      <c r="I108" s="10"/>
      <c r="J108" s="7">
        <v>13.0</v>
      </c>
      <c r="K108" s="10" t="s">
        <v>717</v>
      </c>
      <c r="L108" s="7" t="s">
        <v>725</v>
      </c>
      <c r="M108" s="7" t="s">
        <v>905</v>
      </c>
      <c r="N108" s="7" t="s">
        <v>1058</v>
      </c>
      <c r="O108" s="13" t="s">
        <v>41</v>
      </c>
    </row>
    <row r="109" ht="15.75" customHeight="1">
      <c r="A109" s="7">
        <v>105.0</v>
      </c>
      <c r="B109" s="8" t="s">
        <v>368</v>
      </c>
      <c r="C109" s="7" t="s">
        <v>1091</v>
      </c>
      <c r="D109" s="7" t="s">
        <v>370</v>
      </c>
      <c r="E109" s="10" t="s">
        <v>1092</v>
      </c>
      <c r="F109" s="10" t="s">
        <v>1014</v>
      </c>
      <c r="G109" s="8" t="s">
        <v>441</v>
      </c>
      <c r="H109" s="13" t="s">
        <v>442</v>
      </c>
      <c r="I109" s="10" t="s">
        <v>1098</v>
      </c>
      <c r="J109" s="7">
        <v>13.0</v>
      </c>
      <c r="K109" s="10" t="s">
        <v>717</v>
      </c>
      <c r="L109" s="7" t="s">
        <v>732</v>
      </c>
      <c r="M109" s="7" t="s">
        <v>910</v>
      </c>
      <c r="N109" s="7" t="s">
        <v>1068</v>
      </c>
      <c r="O109" s="13" t="s">
        <v>41</v>
      </c>
    </row>
    <row r="110" ht="15.75" customHeight="1">
      <c r="A110" s="7">
        <v>106.0</v>
      </c>
      <c r="B110" s="8" t="s">
        <v>368</v>
      </c>
      <c r="C110" s="7" t="s">
        <v>1094</v>
      </c>
      <c r="D110" s="7" t="s">
        <v>370</v>
      </c>
      <c r="E110" s="10" t="s">
        <v>1095</v>
      </c>
      <c r="F110" s="10" t="s">
        <v>1076</v>
      </c>
      <c r="G110" s="8" t="s">
        <v>498</v>
      </c>
      <c r="H110" s="13" t="s">
        <v>442</v>
      </c>
      <c r="I110" s="10" t="s">
        <v>1105</v>
      </c>
      <c r="J110" s="7">
        <v>13.0</v>
      </c>
      <c r="K110" s="10" t="s">
        <v>717</v>
      </c>
      <c r="L110" s="7" t="s">
        <v>732</v>
      </c>
      <c r="M110" s="7" t="s">
        <v>910</v>
      </c>
      <c r="N110" s="7" t="s">
        <v>1068</v>
      </c>
      <c r="O110" s="13" t="s">
        <v>41</v>
      </c>
    </row>
    <row r="111" ht="15.75" customHeight="1">
      <c r="A111" s="7">
        <v>107.0</v>
      </c>
      <c r="B111" s="8" t="s">
        <v>368</v>
      </c>
      <c r="C111" s="7" t="s">
        <v>1097</v>
      </c>
      <c r="D111" s="7" t="s">
        <v>370</v>
      </c>
      <c r="E111" s="10" t="s">
        <v>959</v>
      </c>
      <c r="F111" s="10" t="s">
        <v>1106</v>
      </c>
      <c r="G111" s="8" t="s">
        <v>498</v>
      </c>
      <c r="H111" s="13" t="s">
        <v>41</v>
      </c>
      <c r="I111" s="10" t="s">
        <v>1107</v>
      </c>
      <c r="J111" s="7">
        <v>13.0</v>
      </c>
      <c r="K111" s="10" t="s">
        <v>717</v>
      </c>
      <c r="L111" s="7" t="s">
        <v>732</v>
      </c>
      <c r="M111" s="7" t="s">
        <v>910</v>
      </c>
      <c r="N111" s="7" t="s">
        <v>1068</v>
      </c>
      <c r="O111" s="13" t="s">
        <v>41</v>
      </c>
    </row>
    <row r="112" ht="15.75" customHeight="1">
      <c r="A112" s="7">
        <v>108.0</v>
      </c>
      <c r="B112" s="8" t="s">
        <v>368</v>
      </c>
      <c r="C112" s="7" t="s">
        <v>1099</v>
      </c>
      <c r="D112" s="7" t="s">
        <v>370</v>
      </c>
      <c r="E112" s="10" t="s">
        <v>1100</v>
      </c>
      <c r="F112" s="10" t="s">
        <v>691</v>
      </c>
      <c r="G112" s="8" t="s">
        <v>441</v>
      </c>
      <c r="H112" s="13" t="s">
        <v>41</v>
      </c>
      <c r="I112" s="10" t="s">
        <v>1109</v>
      </c>
      <c r="J112" s="7">
        <v>13.0</v>
      </c>
      <c r="K112" s="10" t="s">
        <v>717</v>
      </c>
      <c r="L112" s="7" t="s">
        <v>732</v>
      </c>
      <c r="M112" s="7" t="s">
        <v>910</v>
      </c>
      <c r="N112" s="7" t="s">
        <v>1068</v>
      </c>
      <c r="O112" s="13" t="s">
        <v>41</v>
      </c>
    </row>
    <row r="113" ht="15.75" customHeight="1">
      <c r="A113" s="7">
        <v>109.0</v>
      </c>
      <c r="B113" s="8" t="s">
        <v>368</v>
      </c>
      <c r="C113" s="7" t="s">
        <v>1101</v>
      </c>
      <c r="D113" s="7" t="s">
        <v>370</v>
      </c>
      <c r="E113" s="10" t="s">
        <v>1102</v>
      </c>
      <c r="F113" s="10" t="s">
        <v>979</v>
      </c>
      <c r="G113" s="8" t="s">
        <v>441</v>
      </c>
      <c r="H113" s="13" t="s">
        <v>41</v>
      </c>
      <c r="I113" s="10"/>
      <c r="J113" s="7">
        <v>13.0</v>
      </c>
      <c r="K113" s="10" t="s">
        <v>717</v>
      </c>
      <c r="L113" s="7" t="s">
        <v>732</v>
      </c>
      <c r="M113" s="7" t="s">
        <v>910</v>
      </c>
      <c r="N113" s="7" t="s">
        <v>1068</v>
      </c>
      <c r="O113" s="13" t="s">
        <v>41</v>
      </c>
    </row>
    <row r="114" ht="15.75" customHeight="1">
      <c r="A114" s="7">
        <v>110.0</v>
      </c>
      <c r="B114" s="8" t="s">
        <v>368</v>
      </c>
      <c r="C114" s="7" t="s">
        <v>747</v>
      </c>
      <c r="D114" s="7" t="s">
        <v>370</v>
      </c>
      <c r="E114" s="10" t="s">
        <v>1104</v>
      </c>
      <c r="F114" s="10" t="s">
        <v>745</v>
      </c>
      <c r="G114" s="8" t="s">
        <v>1110</v>
      </c>
      <c r="H114" s="13" t="s">
        <v>41</v>
      </c>
      <c r="I114" s="10"/>
      <c r="J114" s="7">
        <v>13.0</v>
      </c>
      <c r="K114" s="10" t="s">
        <v>717</v>
      </c>
      <c r="L114" s="7" t="s">
        <v>742</v>
      </c>
      <c r="M114" s="7" t="s">
        <v>912</v>
      </c>
      <c r="N114" s="7" t="s">
        <v>1071</v>
      </c>
      <c r="O114" s="13" t="s">
        <v>41</v>
      </c>
    </row>
    <row r="115" ht="15.75" customHeight="1">
      <c r="B115" s="15"/>
      <c r="D115" s="15"/>
      <c r="H115" s="15"/>
      <c r="O115" s="15"/>
    </row>
    <row r="116" ht="15.75" customHeight="1">
      <c r="B116" s="15"/>
      <c r="D116" s="15"/>
      <c r="H116" s="15"/>
      <c r="O116" s="15"/>
    </row>
    <row r="117" ht="15.75" customHeight="1">
      <c r="B117" s="15"/>
      <c r="D117" s="15"/>
      <c r="H117" s="15"/>
      <c r="O117" s="15"/>
    </row>
    <row r="118" ht="15.75" customHeight="1">
      <c r="B118" s="15"/>
      <c r="D118" s="15"/>
      <c r="H118" s="15"/>
      <c r="O118" s="15"/>
    </row>
    <row r="119" ht="15.75" customHeight="1">
      <c r="B119" s="15"/>
      <c r="D119" s="15"/>
      <c r="H119" s="15"/>
      <c r="O119" s="15"/>
    </row>
    <row r="120" ht="15.75" customHeight="1">
      <c r="B120" s="15"/>
      <c r="D120" s="15"/>
      <c r="H120" s="15"/>
      <c r="O120" s="15"/>
    </row>
    <row r="121" ht="15.75" customHeight="1">
      <c r="B121" s="15"/>
      <c r="D121" s="15"/>
      <c r="H121" s="15"/>
      <c r="O121" s="15"/>
    </row>
    <row r="122" ht="15.75" customHeight="1">
      <c r="B122" s="15"/>
      <c r="D122" s="15"/>
      <c r="H122" s="15"/>
      <c r="O122" s="15"/>
    </row>
    <row r="123" ht="15.75" customHeight="1">
      <c r="B123" s="15"/>
      <c r="D123" s="15"/>
      <c r="H123" s="15"/>
      <c r="O123" s="15"/>
    </row>
    <row r="124" ht="15.75" customHeight="1">
      <c r="B124" s="15"/>
      <c r="D124" s="15"/>
      <c r="H124" s="15"/>
      <c r="O124" s="15"/>
    </row>
    <row r="125" ht="15.75" customHeight="1">
      <c r="B125" s="15"/>
      <c r="D125" s="15"/>
      <c r="H125" s="15"/>
      <c r="O125" s="15"/>
    </row>
    <row r="126" ht="15.75" customHeight="1">
      <c r="B126" s="15"/>
      <c r="D126" s="15"/>
      <c r="H126" s="15"/>
      <c r="O126" s="15"/>
    </row>
    <row r="127" ht="15.75" customHeight="1">
      <c r="B127" s="15"/>
      <c r="D127" s="15"/>
      <c r="H127" s="15"/>
      <c r="O127" s="15"/>
    </row>
    <row r="128" ht="15.75" customHeight="1">
      <c r="B128" s="15"/>
      <c r="D128" s="15"/>
      <c r="H128" s="15"/>
      <c r="O128" s="15"/>
    </row>
    <row r="129" ht="15.75" customHeight="1">
      <c r="B129" s="15"/>
      <c r="D129" s="15"/>
      <c r="H129" s="15"/>
      <c r="O129" s="15"/>
    </row>
    <row r="130" ht="15.75" customHeight="1">
      <c r="B130" s="15"/>
      <c r="D130" s="15"/>
      <c r="H130" s="15"/>
      <c r="O130" s="15"/>
    </row>
    <row r="131" ht="15.75" customHeight="1">
      <c r="B131" s="15"/>
      <c r="D131" s="15"/>
      <c r="H131" s="15"/>
      <c r="O131" s="15"/>
    </row>
    <row r="132" ht="15.75" customHeight="1">
      <c r="B132" s="15"/>
      <c r="D132" s="15"/>
      <c r="H132" s="15"/>
      <c r="O132" s="15"/>
    </row>
    <row r="133" ht="15.75" customHeight="1">
      <c r="B133" s="15"/>
      <c r="D133" s="15"/>
      <c r="H133" s="15"/>
      <c r="O133" s="15"/>
    </row>
    <row r="134" ht="15.75" customHeight="1">
      <c r="B134" s="15"/>
      <c r="D134" s="15"/>
      <c r="H134" s="15"/>
      <c r="O134" s="15"/>
    </row>
    <row r="135" ht="15.75" customHeight="1">
      <c r="B135" s="15"/>
      <c r="D135" s="15"/>
      <c r="H135" s="15"/>
      <c r="O135" s="15"/>
    </row>
    <row r="136" ht="15.75" customHeight="1">
      <c r="B136" s="15"/>
      <c r="D136" s="15"/>
      <c r="H136" s="15"/>
      <c r="O136" s="15"/>
    </row>
    <row r="137" ht="15.75" customHeight="1">
      <c r="B137" s="15"/>
      <c r="D137" s="15"/>
      <c r="H137" s="15"/>
      <c r="O137" s="15"/>
    </row>
    <row r="138" ht="15.75" customHeight="1">
      <c r="B138" s="15"/>
      <c r="D138" s="15"/>
      <c r="H138" s="15"/>
      <c r="O138" s="15"/>
    </row>
    <row r="139" ht="15.75" customHeight="1">
      <c r="B139" s="15"/>
      <c r="D139" s="15"/>
      <c r="H139" s="15"/>
      <c r="O139" s="15"/>
    </row>
    <row r="140" ht="15.75" customHeight="1">
      <c r="B140" s="15"/>
      <c r="D140" s="15"/>
      <c r="H140" s="15"/>
      <c r="O140" s="15"/>
    </row>
    <row r="141" ht="15.75" customHeight="1">
      <c r="B141" s="15"/>
      <c r="D141" s="15"/>
      <c r="H141" s="15"/>
      <c r="O141" s="15"/>
    </row>
    <row r="142" ht="15.75" customHeight="1">
      <c r="B142" s="15"/>
      <c r="D142" s="15"/>
      <c r="H142" s="15"/>
      <c r="O142" s="15"/>
    </row>
    <row r="143" ht="15.75" customHeight="1">
      <c r="B143" s="15"/>
      <c r="D143" s="15"/>
      <c r="H143" s="15"/>
      <c r="O143" s="15"/>
    </row>
    <row r="144" ht="15.75" customHeight="1">
      <c r="B144" s="15"/>
      <c r="D144" s="15"/>
      <c r="H144" s="15"/>
      <c r="O144" s="15"/>
    </row>
    <row r="145" ht="15.75" customHeight="1">
      <c r="B145" s="15"/>
      <c r="D145" s="15"/>
      <c r="H145" s="15"/>
      <c r="O145" s="15"/>
    </row>
    <row r="146" ht="15.75" customHeight="1">
      <c r="B146" s="15"/>
      <c r="D146" s="15"/>
      <c r="H146" s="15"/>
      <c r="O146" s="15"/>
    </row>
    <row r="147" ht="15.75" customHeight="1">
      <c r="B147" s="15"/>
      <c r="D147" s="15"/>
      <c r="H147" s="15"/>
      <c r="O147" s="15"/>
    </row>
    <row r="148" ht="15.75" customHeight="1">
      <c r="B148" s="15"/>
      <c r="D148" s="15"/>
      <c r="H148" s="15"/>
      <c r="O148" s="15"/>
    </row>
    <row r="149" ht="15.75" customHeight="1">
      <c r="B149" s="15"/>
      <c r="D149" s="15"/>
      <c r="H149" s="15"/>
      <c r="O149" s="15"/>
    </row>
    <row r="150" ht="15.75" customHeight="1">
      <c r="B150" s="15"/>
      <c r="D150" s="15"/>
      <c r="H150" s="15"/>
      <c r="O150" s="15"/>
    </row>
    <row r="151" ht="15.75" customHeight="1">
      <c r="B151" s="15"/>
      <c r="D151" s="15"/>
      <c r="H151" s="15"/>
      <c r="O151" s="15"/>
    </row>
    <row r="152" ht="15.75" customHeight="1">
      <c r="B152" s="15"/>
      <c r="D152" s="15"/>
      <c r="H152" s="15"/>
      <c r="O152" s="15"/>
    </row>
    <row r="153" ht="15.75" customHeight="1">
      <c r="B153" s="15"/>
      <c r="D153" s="15"/>
      <c r="H153" s="15"/>
      <c r="O153" s="15"/>
    </row>
    <row r="154" ht="15.75" customHeight="1">
      <c r="B154" s="15"/>
      <c r="D154" s="15"/>
      <c r="H154" s="15"/>
      <c r="O154" s="15"/>
    </row>
    <row r="155" ht="15.75" customHeight="1">
      <c r="B155" s="15"/>
      <c r="D155" s="15"/>
      <c r="H155" s="15"/>
      <c r="O155" s="15"/>
    </row>
    <row r="156" ht="15.75" customHeight="1">
      <c r="B156" s="15"/>
      <c r="D156" s="15"/>
      <c r="H156" s="15"/>
      <c r="O156" s="15"/>
    </row>
    <row r="157" ht="15.75" customHeight="1">
      <c r="B157" s="15"/>
      <c r="D157" s="15"/>
      <c r="H157" s="15"/>
      <c r="O157" s="15"/>
    </row>
    <row r="158" ht="15.75" customHeight="1">
      <c r="B158" s="15"/>
      <c r="D158" s="15"/>
      <c r="H158" s="15"/>
      <c r="O158" s="15"/>
    </row>
    <row r="159" ht="15.75" customHeight="1">
      <c r="B159" s="15"/>
      <c r="D159" s="15"/>
      <c r="H159" s="15"/>
      <c r="O159" s="15"/>
    </row>
    <row r="160" ht="15.75" customHeight="1">
      <c r="B160" s="15"/>
      <c r="D160" s="15"/>
      <c r="H160" s="15"/>
      <c r="O160" s="15"/>
    </row>
    <row r="161" ht="15.75" customHeight="1">
      <c r="B161" s="15"/>
      <c r="D161" s="15"/>
      <c r="H161" s="15"/>
      <c r="O161" s="15"/>
    </row>
    <row r="162" ht="15.75" customHeight="1">
      <c r="B162" s="15"/>
      <c r="D162" s="15"/>
      <c r="H162" s="15"/>
      <c r="O162" s="15"/>
    </row>
    <row r="163" ht="15.75" customHeight="1">
      <c r="B163" s="15"/>
      <c r="D163" s="15"/>
      <c r="H163" s="15"/>
      <c r="O163" s="15"/>
    </row>
    <row r="164" ht="15.75" customHeight="1">
      <c r="B164" s="15"/>
      <c r="D164" s="15"/>
      <c r="H164" s="15"/>
      <c r="O164" s="15"/>
    </row>
    <row r="165" ht="15.75" customHeight="1">
      <c r="B165" s="15"/>
      <c r="D165" s="15"/>
      <c r="H165" s="15"/>
      <c r="O165" s="15"/>
    </row>
    <row r="166" ht="15.75" customHeight="1">
      <c r="B166" s="15"/>
      <c r="D166" s="15"/>
      <c r="H166" s="15"/>
      <c r="O166" s="15"/>
    </row>
    <row r="167" ht="15.75" customHeight="1">
      <c r="B167" s="15"/>
      <c r="D167" s="15"/>
      <c r="H167" s="15"/>
      <c r="O167" s="15"/>
    </row>
    <row r="168" ht="15.75" customHeight="1">
      <c r="B168" s="15"/>
      <c r="D168" s="15"/>
      <c r="H168" s="15"/>
      <c r="O168" s="15"/>
    </row>
    <row r="169" ht="15.75" customHeight="1">
      <c r="B169" s="15"/>
      <c r="D169" s="15"/>
      <c r="H169" s="15"/>
      <c r="O169" s="15"/>
    </row>
    <row r="170" ht="15.75" customHeight="1">
      <c r="B170" s="15"/>
      <c r="D170" s="15"/>
      <c r="H170" s="15"/>
      <c r="O170" s="15"/>
    </row>
    <row r="171" ht="15.75" customHeight="1">
      <c r="B171" s="15"/>
      <c r="D171" s="15"/>
      <c r="H171" s="15"/>
      <c r="O171" s="15"/>
    </row>
    <row r="172" ht="15.75" customHeight="1">
      <c r="B172" s="15"/>
      <c r="D172" s="15"/>
      <c r="H172" s="15"/>
      <c r="O172" s="15"/>
    </row>
    <row r="173" ht="15.75" customHeight="1">
      <c r="B173" s="15"/>
      <c r="D173" s="15"/>
      <c r="H173" s="15"/>
      <c r="O173" s="15"/>
    </row>
    <row r="174" ht="15.75" customHeight="1">
      <c r="B174" s="15"/>
      <c r="D174" s="15"/>
      <c r="H174" s="15"/>
      <c r="O174" s="15"/>
    </row>
    <row r="175" ht="15.75" customHeight="1">
      <c r="B175" s="15"/>
      <c r="D175" s="15"/>
      <c r="H175" s="15"/>
      <c r="O175" s="15"/>
    </row>
    <row r="176" ht="15.75" customHeight="1">
      <c r="B176" s="15"/>
      <c r="D176" s="15"/>
      <c r="H176" s="15"/>
      <c r="O176" s="15"/>
    </row>
    <row r="177" ht="15.75" customHeight="1">
      <c r="B177" s="15"/>
      <c r="D177" s="15"/>
      <c r="H177" s="15"/>
      <c r="O177" s="15"/>
    </row>
    <row r="178" ht="15.75" customHeight="1">
      <c r="B178" s="15"/>
      <c r="D178" s="15"/>
      <c r="H178" s="15"/>
      <c r="O178" s="15"/>
    </row>
    <row r="179" ht="15.75" customHeight="1">
      <c r="B179" s="15"/>
      <c r="D179" s="15"/>
      <c r="H179" s="15"/>
      <c r="O179" s="15"/>
    </row>
    <row r="180" ht="15.75" customHeight="1">
      <c r="B180" s="15"/>
      <c r="D180" s="15"/>
      <c r="H180" s="15"/>
      <c r="O180" s="15"/>
    </row>
    <row r="181" ht="15.75" customHeight="1">
      <c r="B181" s="15"/>
      <c r="D181" s="15"/>
      <c r="H181" s="15"/>
      <c r="O181" s="15"/>
    </row>
    <row r="182" ht="15.75" customHeight="1">
      <c r="B182" s="15"/>
      <c r="D182" s="15"/>
      <c r="H182" s="15"/>
      <c r="O182" s="15"/>
    </row>
    <row r="183" ht="15.75" customHeight="1">
      <c r="B183" s="15"/>
      <c r="D183" s="15"/>
      <c r="H183" s="15"/>
      <c r="O183" s="15"/>
    </row>
    <row r="184" ht="15.75" customHeight="1">
      <c r="B184" s="15"/>
      <c r="D184" s="15"/>
      <c r="H184" s="15"/>
      <c r="O184" s="15"/>
    </row>
    <row r="185" ht="15.75" customHeight="1">
      <c r="B185" s="15"/>
      <c r="D185" s="15"/>
      <c r="H185" s="15"/>
      <c r="O185" s="15"/>
    </row>
    <row r="186" ht="15.75" customHeight="1">
      <c r="B186" s="15"/>
      <c r="D186" s="15"/>
      <c r="H186" s="15"/>
      <c r="O186" s="15"/>
    </row>
    <row r="187" ht="15.75" customHeight="1">
      <c r="B187" s="15"/>
      <c r="D187" s="15"/>
      <c r="H187" s="15"/>
      <c r="O187" s="15"/>
    </row>
    <row r="188" ht="15.75" customHeight="1">
      <c r="B188" s="15"/>
      <c r="D188" s="15"/>
      <c r="H188" s="15"/>
      <c r="O188" s="15"/>
    </row>
    <row r="189" ht="15.75" customHeight="1">
      <c r="B189" s="15"/>
      <c r="D189" s="15"/>
      <c r="H189" s="15"/>
      <c r="O189" s="15"/>
    </row>
    <row r="190" ht="15.75" customHeight="1">
      <c r="B190" s="15"/>
      <c r="D190" s="15"/>
      <c r="H190" s="15"/>
      <c r="O190" s="15"/>
    </row>
    <row r="191" ht="15.75" customHeight="1">
      <c r="B191" s="15"/>
      <c r="D191" s="15"/>
      <c r="H191" s="15"/>
      <c r="O191" s="15"/>
    </row>
    <row r="192" ht="15.75" customHeight="1">
      <c r="B192" s="15"/>
      <c r="D192" s="15"/>
      <c r="H192" s="15"/>
      <c r="O192" s="15"/>
    </row>
    <row r="193" ht="15.75" customHeight="1">
      <c r="B193" s="15"/>
      <c r="D193" s="15"/>
      <c r="H193" s="15"/>
      <c r="O193" s="15"/>
    </row>
    <row r="194" ht="15.75" customHeight="1">
      <c r="B194" s="15"/>
      <c r="D194" s="15"/>
      <c r="H194" s="15"/>
      <c r="O194" s="15"/>
    </row>
    <row r="195" ht="15.75" customHeight="1">
      <c r="B195" s="15"/>
      <c r="D195" s="15"/>
      <c r="H195" s="15"/>
      <c r="O195" s="15"/>
    </row>
    <row r="196" ht="15.75" customHeight="1">
      <c r="B196" s="15"/>
      <c r="D196" s="15"/>
      <c r="H196" s="15"/>
      <c r="O196" s="15"/>
    </row>
    <row r="197" ht="15.75" customHeight="1">
      <c r="B197" s="15"/>
      <c r="D197" s="15"/>
      <c r="H197" s="15"/>
      <c r="O197" s="15"/>
    </row>
    <row r="198" ht="15.75" customHeight="1">
      <c r="B198" s="15"/>
      <c r="D198" s="15"/>
      <c r="H198" s="15"/>
      <c r="O198" s="15"/>
    </row>
    <row r="199" ht="15.75" customHeight="1">
      <c r="B199" s="15"/>
      <c r="D199" s="15"/>
      <c r="H199" s="15"/>
      <c r="O199" s="15"/>
    </row>
    <row r="200" ht="15.75" customHeight="1">
      <c r="B200" s="15"/>
      <c r="D200" s="15"/>
      <c r="H200" s="15"/>
      <c r="O200" s="15"/>
    </row>
    <row r="201" ht="15.75" customHeight="1">
      <c r="B201" s="15"/>
      <c r="D201" s="15"/>
      <c r="H201" s="15"/>
      <c r="O201" s="15"/>
    </row>
    <row r="202" ht="15.75" customHeight="1">
      <c r="B202" s="15"/>
      <c r="D202" s="15"/>
      <c r="H202" s="15"/>
      <c r="O202" s="15"/>
    </row>
    <row r="203" ht="15.75" customHeight="1">
      <c r="B203" s="15"/>
      <c r="D203" s="15"/>
      <c r="H203" s="15"/>
      <c r="O203" s="15"/>
    </row>
    <row r="204" ht="15.75" customHeight="1">
      <c r="B204" s="15"/>
      <c r="D204" s="15"/>
      <c r="H204" s="15"/>
      <c r="O204" s="15"/>
    </row>
    <row r="205" ht="15.75" customHeight="1">
      <c r="B205" s="15"/>
      <c r="D205" s="15"/>
      <c r="H205" s="15"/>
      <c r="O205" s="15"/>
    </row>
    <row r="206" ht="15.75" customHeight="1">
      <c r="B206" s="15"/>
      <c r="D206" s="15"/>
      <c r="H206" s="15"/>
      <c r="O206" s="15"/>
    </row>
    <row r="207" ht="15.75" customHeight="1">
      <c r="B207" s="15"/>
      <c r="D207" s="15"/>
      <c r="H207" s="15"/>
      <c r="O207" s="15"/>
    </row>
    <row r="208" ht="15.75" customHeight="1">
      <c r="B208" s="15"/>
      <c r="D208" s="15"/>
      <c r="H208" s="15"/>
      <c r="O208" s="15"/>
    </row>
    <row r="209" ht="15.75" customHeight="1">
      <c r="B209" s="15"/>
      <c r="D209" s="15"/>
      <c r="H209" s="15"/>
      <c r="O209" s="15"/>
    </row>
    <row r="210" ht="15.75" customHeight="1">
      <c r="B210" s="15"/>
      <c r="D210" s="15"/>
      <c r="H210" s="15"/>
      <c r="O210" s="15"/>
    </row>
    <row r="211" ht="15.75" customHeight="1">
      <c r="B211" s="15"/>
      <c r="D211" s="15"/>
      <c r="H211" s="15"/>
      <c r="O211" s="15"/>
    </row>
    <row r="212" ht="15.75" customHeight="1">
      <c r="B212" s="15"/>
      <c r="D212" s="15"/>
      <c r="H212" s="15"/>
      <c r="O212" s="15"/>
    </row>
    <row r="213" ht="15.75" customHeight="1">
      <c r="B213" s="15"/>
      <c r="D213" s="15"/>
      <c r="H213" s="15"/>
      <c r="O213" s="15"/>
    </row>
    <row r="214" ht="15.75" customHeight="1">
      <c r="B214" s="15"/>
      <c r="D214" s="15"/>
      <c r="H214" s="15"/>
      <c r="O214" s="15"/>
    </row>
    <row r="215" ht="15.75" customHeight="1">
      <c r="B215" s="15"/>
      <c r="D215" s="15"/>
      <c r="H215" s="15"/>
      <c r="O215" s="15"/>
    </row>
    <row r="216" ht="15.75" customHeight="1">
      <c r="B216" s="15"/>
      <c r="D216" s="15"/>
      <c r="H216" s="15"/>
      <c r="O216" s="15"/>
    </row>
    <row r="217" ht="15.75" customHeight="1">
      <c r="B217" s="15"/>
      <c r="D217" s="15"/>
      <c r="H217" s="15"/>
      <c r="O217" s="15"/>
    </row>
    <row r="218" ht="15.75" customHeight="1">
      <c r="B218" s="15"/>
      <c r="D218" s="15"/>
      <c r="H218" s="15"/>
      <c r="O218" s="15"/>
    </row>
    <row r="219" ht="15.75" customHeight="1">
      <c r="B219" s="15"/>
      <c r="D219" s="15"/>
      <c r="H219" s="15"/>
      <c r="O219" s="15"/>
    </row>
    <row r="220" ht="15.75" customHeight="1">
      <c r="B220" s="15"/>
      <c r="D220" s="15"/>
      <c r="H220" s="15"/>
      <c r="O220" s="15"/>
    </row>
    <row r="221" ht="15.75" customHeight="1">
      <c r="B221" s="15"/>
      <c r="D221" s="15"/>
      <c r="H221" s="15"/>
      <c r="O221" s="15"/>
    </row>
    <row r="222" ht="15.75" customHeight="1">
      <c r="B222" s="15"/>
      <c r="D222" s="15"/>
      <c r="H222" s="15"/>
      <c r="O222" s="15"/>
    </row>
    <row r="223" ht="15.75" customHeight="1">
      <c r="B223" s="15"/>
      <c r="D223" s="15"/>
      <c r="H223" s="15"/>
      <c r="O223" s="15"/>
    </row>
    <row r="224" ht="15.75" customHeight="1">
      <c r="B224" s="15"/>
      <c r="D224" s="15"/>
      <c r="H224" s="15"/>
      <c r="O224" s="15"/>
    </row>
    <row r="225" ht="15.75" customHeight="1">
      <c r="B225" s="15"/>
      <c r="D225" s="15"/>
      <c r="H225" s="15"/>
      <c r="O225" s="15"/>
    </row>
    <row r="226" ht="15.75" customHeight="1">
      <c r="B226" s="15"/>
      <c r="D226" s="15"/>
      <c r="H226" s="15"/>
      <c r="O226" s="15"/>
    </row>
    <row r="227" ht="15.75" customHeight="1">
      <c r="B227" s="15"/>
      <c r="D227" s="15"/>
      <c r="H227" s="15"/>
      <c r="O227" s="15"/>
    </row>
    <row r="228" ht="15.75" customHeight="1">
      <c r="B228" s="15"/>
      <c r="D228" s="15"/>
      <c r="H228" s="15"/>
      <c r="O228" s="15"/>
    </row>
    <row r="229" ht="15.75" customHeight="1">
      <c r="B229" s="15"/>
      <c r="D229" s="15"/>
      <c r="H229" s="15"/>
      <c r="O229" s="15"/>
    </row>
    <row r="230" ht="15.75" customHeight="1">
      <c r="B230" s="15"/>
      <c r="D230" s="15"/>
      <c r="H230" s="15"/>
      <c r="O230" s="15"/>
    </row>
    <row r="231" ht="15.75" customHeight="1">
      <c r="B231" s="15"/>
      <c r="D231" s="15"/>
      <c r="H231" s="15"/>
      <c r="O231" s="15"/>
    </row>
    <row r="232" ht="15.75" customHeight="1">
      <c r="B232" s="15"/>
      <c r="D232" s="15"/>
      <c r="H232" s="15"/>
      <c r="O232" s="15"/>
    </row>
    <row r="233" ht="15.75" customHeight="1">
      <c r="B233" s="15"/>
      <c r="D233" s="15"/>
      <c r="H233" s="15"/>
      <c r="O233" s="15"/>
    </row>
    <row r="234" ht="15.75" customHeight="1">
      <c r="B234" s="15"/>
      <c r="D234" s="15"/>
      <c r="H234" s="15"/>
      <c r="O234" s="15"/>
    </row>
    <row r="235" ht="15.75" customHeight="1">
      <c r="B235" s="15"/>
      <c r="D235" s="15"/>
      <c r="H235" s="15"/>
      <c r="O235" s="15"/>
    </row>
    <row r="236" ht="15.75" customHeight="1">
      <c r="B236" s="15"/>
      <c r="D236" s="15"/>
      <c r="H236" s="15"/>
      <c r="O236" s="15"/>
    </row>
    <row r="237" ht="15.75" customHeight="1">
      <c r="B237" s="15"/>
      <c r="D237" s="15"/>
      <c r="H237" s="15"/>
      <c r="O237" s="15"/>
    </row>
    <row r="238" ht="15.75" customHeight="1">
      <c r="B238" s="15"/>
      <c r="D238" s="15"/>
      <c r="H238" s="15"/>
      <c r="O238" s="15"/>
    </row>
    <row r="239" ht="15.75" customHeight="1">
      <c r="B239" s="15"/>
      <c r="D239" s="15"/>
      <c r="H239" s="15"/>
      <c r="O239" s="15"/>
    </row>
    <row r="240" ht="15.75" customHeight="1">
      <c r="B240" s="15"/>
      <c r="D240" s="15"/>
      <c r="H240" s="15"/>
      <c r="O240" s="15"/>
    </row>
    <row r="241" ht="15.75" customHeight="1">
      <c r="B241" s="15"/>
      <c r="D241" s="15"/>
      <c r="H241" s="15"/>
      <c r="O241" s="15"/>
    </row>
    <row r="242" ht="15.75" customHeight="1">
      <c r="B242" s="15"/>
      <c r="D242" s="15"/>
      <c r="H242" s="15"/>
      <c r="O242" s="15"/>
    </row>
    <row r="243" ht="15.75" customHeight="1">
      <c r="B243" s="15"/>
      <c r="D243" s="15"/>
      <c r="H243" s="15"/>
      <c r="O243" s="15"/>
    </row>
    <row r="244" ht="15.75" customHeight="1">
      <c r="B244" s="15"/>
      <c r="D244" s="15"/>
      <c r="H244" s="15"/>
      <c r="O244" s="15"/>
    </row>
    <row r="245" ht="15.75" customHeight="1">
      <c r="B245" s="15"/>
      <c r="D245" s="15"/>
      <c r="H245" s="15"/>
      <c r="O245" s="15"/>
    </row>
    <row r="246" ht="15.75" customHeight="1">
      <c r="B246" s="15"/>
      <c r="D246" s="15"/>
      <c r="H246" s="15"/>
      <c r="O246" s="15"/>
    </row>
    <row r="247" ht="15.75" customHeight="1">
      <c r="B247" s="15"/>
      <c r="D247" s="15"/>
      <c r="H247" s="15"/>
      <c r="O247" s="15"/>
    </row>
    <row r="248" ht="15.75" customHeight="1">
      <c r="B248" s="15"/>
      <c r="D248" s="15"/>
      <c r="H248" s="15"/>
      <c r="O248" s="15"/>
    </row>
    <row r="249" ht="15.75" customHeight="1">
      <c r="B249" s="15"/>
      <c r="D249" s="15"/>
      <c r="H249" s="15"/>
      <c r="O249" s="15"/>
    </row>
    <row r="250" ht="15.75" customHeight="1">
      <c r="B250" s="15"/>
      <c r="D250" s="15"/>
      <c r="H250" s="15"/>
      <c r="O250" s="15"/>
    </row>
    <row r="251" ht="15.75" customHeight="1">
      <c r="B251" s="15"/>
      <c r="D251" s="15"/>
      <c r="H251" s="15"/>
      <c r="O251" s="15"/>
    </row>
    <row r="252" ht="15.75" customHeight="1">
      <c r="B252" s="15"/>
      <c r="D252" s="15"/>
      <c r="H252" s="15"/>
      <c r="O252" s="15"/>
    </row>
    <row r="253" ht="15.75" customHeight="1">
      <c r="B253" s="15"/>
      <c r="D253" s="15"/>
      <c r="H253" s="15"/>
      <c r="O253" s="15"/>
    </row>
    <row r="254" ht="15.75" customHeight="1">
      <c r="B254" s="15"/>
      <c r="D254" s="15"/>
      <c r="H254" s="15"/>
      <c r="O254" s="15"/>
    </row>
    <row r="255" ht="15.75" customHeight="1">
      <c r="B255" s="15"/>
      <c r="D255" s="15"/>
      <c r="H255" s="15"/>
      <c r="O255" s="15"/>
    </row>
    <row r="256" ht="15.75" customHeight="1">
      <c r="B256" s="15"/>
      <c r="D256" s="15"/>
      <c r="H256" s="15"/>
      <c r="O256" s="15"/>
    </row>
    <row r="257" ht="15.75" customHeight="1">
      <c r="B257" s="15"/>
      <c r="D257" s="15"/>
      <c r="H257" s="15"/>
      <c r="O257" s="15"/>
    </row>
    <row r="258" ht="15.75" customHeight="1">
      <c r="B258" s="15"/>
      <c r="D258" s="15"/>
      <c r="H258" s="15"/>
      <c r="O258" s="15"/>
    </row>
    <row r="259" ht="15.75" customHeight="1">
      <c r="B259" s="15"/>
      <c r="D259" s="15"/>
      <c r="H259" s="15"/>
      <c r="O259" s="15"/>
    </row>
    <row r="260" ht="15.75" customHeight="1">
      <c r="B260" s="15"/>
      <c r="D260" s="15"/>
      <c r="H260" s="15"/>
      <c r="O260" s="15"/>
    </row>
    <row r="261" ht="15.75" customHeight="1">
      <c r="B261" s="15"/>
      <c r="D261" s="15"/>
      <c r="H261" s="15"/>
      <c r="O261" s="15"/>
    </row>
    <row r="262" ht="15.75" customHeight="1">
      <c r="B262" s="15"/>
      <c r="D262" s="15"/>
      <c r="H262" s="15"/>
      <c r="O262" s="15"/>
    </row>
    <row r="263" ht="15.75" customHeight="1">
      <c r="B263" s="15"/>
      <c r="D263" s="15"/>
      <c r="H263" s="15"/>
      <c r="O263" s="15"/>
    </row>
    <row r="264" ht="15.75" customHeight="1">
      <c r="B264" s="15"/>
      <c r="D264" s="15"/>
      <c r="H264" s="15"/>
      <c r="O264" s="15"/>
    </row>
    <row r="265" ht="15.75" customHeight="1">
      <c r="B265" s="15"/>
      <c r="D265" s="15"/>
      <c r="H265" s="15"/>
      <c r="O265" s="15"/>
    </row>
    <row r="266" ht="15.75" customHeight="1">
      <c r="B266" s="15"/>
      <c r="D266" s="15"/>
      <c r="H266" s="15"/>
      <c r="O266" s="15"/>
    </row>
    <row r="267" ht="15.75" customHeight="1">
      <c r="B267" s="15"/>
      <c r="D267" s="15"/>
      <c r="H267" s="15"/>
      <c r="O267" s="15"/>
    </row>
    <row r="268" ht="15.75" customHeight="1">
      <c r="B268" s="15"/>
      <c r="D268" s="15"/>
      <c r="H268" s="15"/>
      <c r="O268" s="15"/>
    </row>
    <row r="269" ht="15.75" customHeight="1">
      <c r="B269" s="15"/>
      <c r="D269" s="15"/>
      <c r="H269" s="15"/>
      <c r="O269" s="15"/>
    </row>
    <row r="270" ht="15.75" customHeight="1">
      <c r="B270" s="15"/>
      <c r="D270" s="15"/>
      <c r="H270" s="15"/>
      <c r="O270" s="15"/>
    </row>
    <row r="271" ht="15.75" customHeight="1">
      <c r="B271" s="15"/>
      <c r="D271" s="15"/>
      <c r="H271" s="15"/>
      <c r="O271" s="15"/>
    </row>
    <row r="272" ht="15.75" customHeight="1">
      <c r="B272" s="15"/>
      <c r="D272" s="15"/>
      <c r="H272" s="15"/>
      <c r="O272" s="15"/>
    </row>
    <row r="273" ht="15.75" customHeight="1">
      <c r="B273" s="15"/>
      <c r="D273" s="15"/>
      <c r="H273" s="15"/>
      <c r="O273" s="15"/>
    </row>
    <row r="274" ht="15.75" customHeight="1">
      <c r="B274" s="15"/>
      <c r="D274" s="15"/>
      <c r="H274" s="15"/>
      <c r="O274" s="15"/>
    </row>
    <row r="275" ht="15.75" customHeight="1">
      <c r="B275" s="15"/>
      <c r="D275" s="15"/>
      <c r="H275" s="15"/>
      <c r="O275" s="15"/>
    </row>
    <row r="276" ht="15.75" customHeight="1">
      <c r="B276" s="15"/>
      <c r="D276" s="15"/>
      <c r="H276" s="15"/>
      <c r="O276" s="15"/>
    </row>
    <row r="277" ht="15.75" customHeight="1">
      <c r="B277" s="15"/>
      <c r="D277" s="15"/>
      <c r="H277" s="15"/>
      <c r="O277" s="15"/>
    </row>
    <row r="278" ht="15.75" customHeight="1">
      <c r="B278" s="15"/>
      <c r="D278" s="15"/>
      <c r="H278" s="15"/>
      <c r="O278" s="15"/>
    </row>
    <row r="279" ht="15.75" customHeight="1">
      <c r="B279" s="15"/>
      <c r="D279" s="15"/>
      <c r="H279" s="15"/>
      <c r="O279" s="15"/>
    </row>
    <row r="280" ht="15.75" customHeight="1">
      <c r="B280" s="15"/>
      <c r="D280" s="15"/>
      <c r="H280" s="15"/>
      <c r="O280" s="15"/>
    </row>
    <row r="281" ht="15.75" customHeight="1">
      <c r="B281" s="15"/>
      <c r="D281" s="15"/>
      <c r="H281" s="15"/>
      <c r="O281" s="15"/>
    </row>
    <row r="282" ht="15.75" customHeight="1">
      <c r="B282" s="15"/>
      <c r="D282" s="15"/>
      <c r="H282" s="15"/>
      <c r="O282" s="15"/>
    </row>
    <row r="283" ht="15.75" customHeight="1">
      <c r="B283" s="15"/>
      <c r="D283" s="15"/>
      <c r="H283" s="15"/>
      <c r="O283" s="15"/>
    </row>
    <row r="284" ht="15.75" customHeight="1">
      <c r="B284" s="15"/>
      <c r="D284" s="15"/>
      <c r="H284" s="15"/>
      <c r="O284" s="15"/>
    </row>
    <row r="285" ht="15.75" customHeight="1">
      <c r="B285" s="15"/>
      <c r="D285" s="15"/>
      <c r="H285" s="15"/>
      <c r="O285" s="15"/>
    </row>
    <row r="286" ht="15.75" customHeight="1">
      <c r="B286" s="15"/>
      <c r="D286" s="15"/>
      <c r="H286" s="15"/>
      <c r="O286" s="15"/>
    </row>
    <row r="287" ht="15.75" customHeight="1">
      <c r="B287" s="15"/>
      <c r="D287" s="15"/>
      <c r="H287" s="15"/>
      <c r="O287" s="15"/>
    </row>
    <row r="288" ht="15.75" customHeight="1">
      <c r="B288" s="15"/>
      <c r="D288" s="15"/>
      <c r="H288" s="15"/>
      <c r="O288" s="15"/>
    </row>
    <row r="289" ht="15.75" customHeight="1">
      <c r="B289" s="15"/>
      <c r="D289" s="15"/>
      <c r="H289" s="15"/>
      <c r="O289" s="15"/>
    </row>
    <row r="290" ht="15.75" customHeight="1">
      <c r="B290" s="15"/>
      <c r="D290" s="15"/>
      <c r="H290" s="15"/>
      <c r="O290" s="15"/>
    </row>
    <row r="291" ht="15.75" customHeight="1">
      <c r="B291" s="15"/>
      <c r="D291" s="15"/>
      <c r="H291" s="15"/>
      <c r="O291" s="15"/>
    </row>
    <row r="292" ht="15.75" customHeight="1">
      <c r="B292" s="15"/>
      <c r="D292" s="15"/>
      <c r="H292" s="15"/>
      <c r="O292" s="15"/>
    </row>
    <row r="293" ht="15.75" customHeight="1">
      <c r="B293" s="15"/>
      <c r="D293" s="15"/>
      <c r="H293" s="15"/>
      <c r="O293" s="15"/>
    </row>
    <row r="294" ht="15.75" customHeight="1">
      <c r="B294" s="15"/>
      <c r="D294" s="15"/>
      <c r="H294" s="15"/>
      <c r="O294" s="15"/>
    </row>
    <row r="295" ht="15.75" customHeight="1">
      <c r="B295" s="15"/>
      <c r="D295" s="15"/>
      <c r="H295" s="15"/>
      <c r="O295" s="15"/>
    </row>
    <row r="296" ht="15.75" customHeight="1">
      <c r="B296" s="15"/>
      <c r="D296" s="15"/>
      <c r="H296" s="15"/>
      <c r="O296" s="15"/>
    </row>
    <row r="297" ht="15.75" customHeight="1">
      <c r="B297" s="15"/>
      <c r="D297" s="15"/>
      <c r="H297" s="15"/>
      <c r="O297" s="15"/>
    </row>
    <row r="298" ht="15.75" customHeight="1">
      <c r="B298" s="15"/>
      <c r="D298" s="15"/>
      <c r="H298" s="15"/>
      <c r="O298" s="15"/>
    </row>
    <row r="299" ht="15.75" customHeight="1">
      <c r="B299" s="15"/>
      <c r="D299" s="15"/>
      <c r="H299" s="15"/>
      <c r="O299" s="15"/>
    </row>
    <row r="300" ht="15.75" customHeight="1">
      <c r="B300" s="15"/>
      <c r="D300" s="15"/>
      <c r="H300" s="15"/>
      <c r="O300" s="15"/>
    </row>
    <row r="301" ht="15.75" customHeight="1">
      <c r="B301" s="15"/>
      <c r="D301" s="15"/>
      <c r="H301" s="15"/>
      <c r="O301" s="15"/>
    </row>
    <row r="302" ht="15.75" customHeight="1">
      <c r="B302" s="15"/>
      <c r="D302" s="15"/>
      <c r="H302" s="15"/>
      <c r="O302" s="15"/>
    </row>
    <row r="303" ht="15.75" customHeight="1">
      <c r="B303" s="15"/>
      <c r="D303" s="15"/>
      <c r="H303" s="15"/>
      <c r="O303" s="15"/>
    </row>
    <row r="304" ht="15.75" customHeight="1">
      <c r="B304" s="15"/>
      <c r="D304" s="15"/>
      <c r="H304" s="15"/>
      <c r="O304" s="15"/>
    </row>
    <row r="305" ht="15.75" customHeight="1">
      <c r="B305" s="15"/>
      <c r="D305" s="15"/>
      <c r="H305" s="15"/>
      <c r="O305" s="15"/>
    </row>
    <row r="306" ht="15.75" customHeight="1">
      <c r="B306" s="15"/>
      <c r="D306" s="15"/>
      <c r="H306" s="15"/>
      <c r="O306" s="15"/>
    </row>
    <row r="307" ht="15.75" customHeight="1">
      <c r="B307" s="15"/>
      <c r="D307" s="15"/>
      <c r="H307" s="15"/>
      <c r="O307" s="15"/>
    </row>
    <row r="308" ht="15.75" customHeight="1">
      <c r="B308" s="15"/>
      <c r="D308" s="15"/>
      <c r="H308" s="15"/>
      <c r="O308" s="15"/>
    </row>
    <row r="309" ht="15.75" customHeight="1">
      <c r="B309" s="15"/>
      <c r="D309" s="15"/>
      <c r="H309" s="15"/>
      <c r="O309" s="15"/>
    </row>
    <row r="310" ht="15.75" customHeight="1">
      <c r="B310" s="15"/>
      <c r="D310" s="15"/>
      <c r="H310" s="15"/>
      <c r="O310" s="15"/>
    </row>
    <row r="311" ht="15.75" customHeight="1">
      <c r="B311" s="15"/>
      <c r="D311" s="15"/>
      <c r="H311" s="15"/>
      <c r="O311" s="15"/>
    </row>
    <row r="312" ht="15.75" customHeight="1">
      <c r="B312" s="15"/>
      <c r="D312" s="15"/>
      <c r="H312" s="15"/>
      <c r="O312" s="15"/>
    </row>
    <row r="313" ht="15.75" customHeight="1">
      <c r="B313" s="15"/>
      <c r="D313" s="15"/>
      <c r="H313" s="15"/>
      <c r="O313" s="15"/>
    </row>
    <row r="314" ht="15.75" customHeight="1">
      <c r="B314" s="15"/>
      <c r="D314" s="15"/>
      <c r="H314" s="15"/>
      <c r="O314" s="15"/>
    </row>
    <row r="315" ht="15.75" customHeight="1">
      <c r="B315" s="15"/>
      <c r="D315" s="15"/>
      <c r="H315" s="15"/>
      <c r="O315" s="15"/>
    </row>
    <row r="316" ht="15.75" customHeight="1">
      <c r="B316" s="15"/>
      <c r="D316" s="15"/>
      <c r="H316" s="15"/>
      <c r="O316" s="15"/>
    </row>
    <row r="317" ht="15.75" customHeight="1">
      <c r="B317" s="15"/>
      <c r="D317" s="15"/>
      <c r="H317" s="15"/>
      <c r="O317" s="15"/>
    </row>
    <row r="318" ht="15.75" customHeight="1">
      <c r="B318" s="15"/>
      <c r="D318" s="15"/>
      <c r="H318" s="15"/>
      <c r="O318" s="15"/>
    </row>
    <row r="319" ht="15.75" customHeight="1">
      <c r="B319" s="15"/>
      <c r="D319" s="15"/>
      <c r="H319" s="15"/>
      <c r="O319" s="15"/>
    </row>
    <row r="320" ht="15.75" customHeight="1">
      <c r="B320" s="15"/>
      <c r="D320" s="15"/>
      <c r="H320" s="15"/>
      <c r="O320" s="15"/>
    </row>
    <row r="321" ht="15.75" customHeight="1">
      <c r="B321" s="15"/>
      <c r="D321" s="15"/>
      <c r="H321" s="15"/>
      <c r="O321" s="15"/>
    </row>
    <row r="322" ht="15.75" customHeight="1">
      <c r="B322" s="15"/>
      <c r="D322" s="15"/>
      <c r="H322" s="15"/>
      <c r="O322" s="15"/>
    </row>
    <row r="323" ht="15.75" customHeight="1">
      <c r="B323" s="15"/>
      <c r="D323" s="15"/>
      <c r="H323" s="15"/>
      <c r="O323" s="15"/>
    </row>
    <row r="324" ht="15.75" customHeight="1">
      <c r="B324" s="15"/>
      <c r="D324" s="15"/>
      <c r="H324" s="15"/>
      <c r="O324" s="15"/>
    </row>
    <row r="325" ht="15.75" customHeight="1">
      <c r="B325" s="15"/>
      <c r="D325" s="15"/>
      <c r="H325" s="15"/>
      <c r="O325" s="15"/>
    </row>
    <row r="326" ht="15.75" customHeight="1">
      <c r="B326" s="15"/>
      <c r="D326" s="15"/>
      <c r="H326" s="15"/>
      <c r="O326" s="15"/>
    </row>
    <row r="327" ht="15.75" customHeight="1">
      <c r="B327" s="15"/>
      <c r="D327" s="15"/>
      <c r="H327" s="15"/>
      <c r="O327" s="15"/>
    </row>
    <row r="328" ht="15.75" customHeight="1">
      <c r="B328" s="15"/>
      <c r="D328" s="15"/>
      <c r="H328" s="15"/>
      <c r="O328" s="15"/>
    </row>
    <row r="329" ht="15.75" customHeight="1">
      <c r="B329" s="15"/>
      <c r="D329" s="15"/>
      <c r="H329" s="15"/>
      <c r="O329" s="15"/>
    </row>
    <row r="330" ht="15.75" customHeight="1">
      <c r="B330" s="15"/>
      <c r="D330" s="15"/>
      <c r="H330" s="15"/>
      <c r="O330" s="15"/>
    </row>
    <row r="331" ht="15.75" customHeight="1">
      <c r="B331" s="15"/>
      <c r="D331" s="15"/>
      <c r="H331" s="15"/>
      <c r="O331" s="15"/>
    </row>
    <row r="332" ht="15.75" customHeight="1">
      <c r="B332" s="15"/>
      <c r="D332" s="15"/>
      <c r="H332" s="15"/>
      <c r="O332" s="15"/>
    </row>
    <row r="333" ht="15.75" customHeight="1">
      <c r="B333" s="15"/>
      <c r="D333" s="15"/>
      <c r="H333" s="15"/>
      <c r="O333" s="15"/>
    </row>
    <row r="334" ht="15.75" customHeight="1">
      <c r="B334" s="15"/>
      <c r="D334" s="15"/>
      <c r="H334" s="15"/>
      <c r="O334" s="15"/>
    </row>
    <row r="335" ht="15.75" customHeight="1">
      <c r="B335" s="15"/>
      <c r="D335" s="15"/>
      <c r="H335" s="15"/>
      <c r="O335" s="15"/>
    </row>
    <row r="336" ht="15.75" customHeight="1">
      <c r="B336" s="15"/>
      <c r="D336" s="15"/>
      <c r="H336" s="15"/>
      <c r="O336" s="15"/>
    </row>
    <row r="337" ht="15.75" customHeight="1">
      <c r="B337" s="15"/>
      <c r="D337" s="15"/>
      <c r="H337" s="15"/>
      <c r="O337" s="15"/>
    </row>
    <row r="338" ht="15.75" customHeight="1">
      <c r="B338" s="15"/>
      <c r="D338" s="15"/>
      <c r="H338" s="15"/>
      <c r="O338" s="15"/>
    </row>
    <row r="339" ht="15.75" customHeight="1">
      <c r="B339" s="15"/>
      <c r="D339" s="15"/>
      <c r="H339" s="15"/>
      <c r="O339" s="15"/>
    </row>
    <row r="340" ht="15.75" customHeight="1">
      <c r="B340" s="15"/>
      <c r="D340" s="15"/>
      <c r="H340" s="15"/>
      <c r="O340" s="15"/>
    </row>
    <row r="341" ht="15.75" customHeight="1">
      <c r="B341" s="15"/>
      <c r="D341" s="15"/>
      <c r="H341" s="15"/>
      <c r="O341" s="15"/>
    </row>
    <row r="342" ht="15.75" customHeight="1">
      <c r="B342" s="15"/>
      <c r="D342" s="15"/>
      <c r="H342" s="15"/>
      <c r="O342" s="15"/>
    </row>
    <row r="343" ht="15.75" customHeight="1">
      <c r="B343" s="15"/>
      <c r="D343" s="15"/>
      <c r="H343" s="15"/>
      <c r="O343" s="15"/>
    </row>
    <row r="344" ht="15.75" customHeight="1">
      <c r="B344" s="15"/>
      <c r="D344" s="15"/>
      <c r="H344" s="15"/>
      <c r="O344" s="15"/>
    </row>
    <row r="345" ht="15.75" customHeight="1">
      <c r="B345" s="15"/>
      <c r="D345" s="15"/>
      <c r="H345" s="15"/>
      <c r="O345" s="15"/>
    </row>
    <row r="346" ht="15.75" customHeight="1">
      <c r="B346" s="15"/>
      <c r="D346" s="15"/>
      <c r="H346" s="15"/>
      <c r="O346" s="15"/>
    </row>
    <row r="347" ht="15.75" customHeight="1">
      <c r="B347" s="15"/>
      <c r="D347" s="15"/>
      <c r="H347" s="15"/>
      <c r="O347" s="15"/>
    </row>
    <row r="348" ht="15.75" customHeight="1">
      <c r="B348" s="15"/>
      <c r="D348" s="15"/>
      <c r="H348" s="15"/>
      <c r="O348" s="15"/>
    </row>
    <row r="349" ht="15.75" customHeight="1">
      <c r="B349" s="15"/>
      <c r="D349" s="15"/>
      <c r="H349" s="15"/>
      <c r="O349" s="15"/>
    </row>
    <row r="350" ht="15.75" customHeight="1">
      <c r="B350" s="15"/>
      <c r="D350" s="15"/>
      <c r="H350" s="15"/>
      <c r="O350" s="15"/>
    </row>
    <row r="351" ht="15.75" customHeight="1">
      <c r="B351" s="15"/>
      <c r="D351" s="15"/>
      <c r="H351" s="15"/>
      <c r="O351" s="15"/>
    </row>
    <row r="352" ht="15.75" customHeight="1">
      <c r="B352" s="15"/>
      <c r="D352" s="15"/>
      <c r="H352" s="15"/>
      <c r="O352" s="15"/>
    </row>
    <row r="353" ht="15.75" customHeight="1">
      <c r="B353" s="15"/>
      <c r="D353" s="15"/>
      <c r="H353" s="15"/>
      <c r="O353" s="15"/>
    </row>
    <row r="354" ht="15.75" customHeight="1">
      <c r="B354" s="15"/>
      <c r="D354" s="15"/>
      <c r="H354" s="15"/>
      <c r="O354" s="15"/>
    </row>
    <row r="355" ht="15.75" customHeight="1">
      <c r="B355" s="15"/>
      <c r="D355" s="15"/>
      <c r="H355" s="15"/>
      <c r="O355" s="15"/>
    </row>
    <row r="356" ht="15.75" customHeight="1">
      <c r="B356" s="15"/>
      <c r="D356" s="15"/>
      <c r="H356" s="15"/>
      <c r="O356" s="15"/>
    </row>
    <row r="357" ht="15.75" customHeight="1">
      <c r="B357" s="15"/>
      <c r="D357" s="15"/>
      <c r="H357" s="15"/>
      <c r="O357" s="15"/>
    </row>
    <row r="358" ht="15.75" customHeight="1">
      <c r="B358" s="15"/>
      <c r="D358" s="15"/>
      <c r="H358" s="15"/>
      <c r="O358" s="15"/>
    </row>
    <row r="359" ht="15.75" customHeight="1">
      <c r="B359" s="15"/>
      <c r="D359" s="15"/>
      <c r="H359" s="15"/>
      <c r="O359" s="15"/>
    </row>
    <row r="360" ht="15.75" customHeight="1">
      <c r="B360" s="15"/>
      <c r="D360" s="15"/>
      <c r="H360" s="15"/>
      <c r="O360" s="15"/>
    </row>
    <row r="361" ht="15.75" customHeight="1">
      <c r="B361" s="15"/>
      <c r="D361" s="15"/>
      <c r="H361" s="15"/>
      <c r="O361" s="15"/>
    </row>
    <row r="362" ht="15.75" customHeight="1">
      <c r="B362" s="15"/>
      <c r="D362" s="15"/>
      <c r="H362" s="15"/>
      <c r="O362" s="15"/>
    </row>
    <row r="363" ht="15.75" customHeight="1">
      <c r="B363" s="15"/>
      <c r="D363" s="15"/>
      <c r="H363" s="15"/>
      <c r="O363" s="15"/>
    </row>
    <row r="364" ht="15.75" customHeight="1">
      <c r="B364" s="15"/>
      <c r="D364" s="15"/>
      <c r="H364" s="15"/>
      <c r="O364" s="15"/>
    </row>
    <row r="365" ht="15.75" customHeight="1">
      <c r="B365" s="15"/>
      <c r="D365" s="15"/>
      <c r="H365" s="15"/>
      <c r="O365" s="15"/>
    </row>
    <row r="366" ht="15.75" customHeight="1">
      <c r="B366" s="15"/>
      <c r="D366" s="15"/>
      <c r="H366" s="15"/>
      <c r="O366" s="15"/>
    </row>
    <row r="367" ht="15.75" customHeight="1">
      <c r="B367" s="15"/>
      <c r="D367" s="15"/>
      <c r="H367" s="15"/>
      <c r="O367" s="15"/>
    </row>
    <row r="368" ht="15.75" customHeight="1">
      <c r="B368" s="15"/>
      <c r="D368" s="15"/>
      <c r="H368" s="15"/>
      <c r="O368" s="15"/>
    </row>
    <row r="369" ht="15.75" customHeight="1">
      <c r="B369" s="15"/>
      <c r="D369" s="15"/>
      <c r="H369" s="15"/>
      <c r="O369" s="15"/>
    </row>
    <row r="370" ht="15.75" customHeight="1">
      <c r="B370" s="15"/>
      <c r="D370" s="15"/>
      <c r="H370" s="15"/>
      <c r="O370" s="15"/>
    </row>
    <row r="371" ht="15.75" customHeight="1">
      <c r="B371" s="15"/>
      <c r="D371" s="15"/>
      <c r="H371" s="15"/>
      <c r="O371" s="15"/>
    </row>
    <row r="372" ht="15.75" customHeight="1">
      <c r="B372" s="15"/>
      <c r="D372" s="15"/>
      <c r="H372" s="15"/>
      <c r="O372" s="15"/>
    </row>
    <row r="373" ht="15.75" customHeight="1">
      <c r="B373" s="15"/>
      <c r="D373" s="15"/>
      <c r="H373" s="15"/>
      <c r="O373" s="15"/>
    </row>
    <row r="374" ht="15.75" customHeight="1">
      <c r="B374" s="15"/>
      <c r="D374" s="15"/>
      <c r="H374" s="15"/>
      <c r="O374" s="15"/>
    </row>
    <row r="375" ht="15.75" customHeight="1">
      <c r="B375" s="15"/>
      <c r="D375" s="15"/>
      <c r="H375" s="15"/>
      <c r="O375" s="15"/>
    </row>
    <row r="376" ht="15.75" customHeight="1">
      <c r="B376" s="15"/>
      <c r="D376" s="15"/>
      <c r="H376" s="15"/>
      <c r="O376" s="15"/>
    </row>
    <row r="377" ht="15.75" customHeight="1">
      <c r="B377" s="15"/>
      <c r="D377" s="15"/>
      <c r="H377" s="15"/>
      <c r="O377" s="15"/>
    </row>
    <row r="378" ht="15.75" customHeight="1">
      <c r="B378" s="15"/>
      <c r="D378" s="15"/>
      <c r="H378" s="15"/>
      <c r="O378" s="15"/>
    </row>
    <row r="379" ht="15.75" customHeight="1">
      <c r="B379" s="15"/>
      <c r="D379" s="15"/>
      <c r="H379" s="15"/>
      <c r="O379" s="15"/>
    </row>
    <row r="380" ht="15.75" customHeight="1">
      <c r="B380" s="15"/>
      <c r="D380" s="15"/>
      <c r="H380" s="15"/>
      <c r="O380" s="15"/>
    </row>
    <row r="381" ht="15.75" customHeight="1">
      <c r="B381" s="15"/>
      <c r="D381" s="15"/>
      <c r="H381" s="15"/>
      <c r="O381" s="15"/>
    </row>
    <row r="382" ht="15.75" customHeight="1">
      <c r="B382" s="15"/>
      <c r="D382" s="15"/>
      <c r="H382" s="15"/>
      <c r="O382" s="15"/>
    </row>
    <row r="383" ht="15.75" customHeight="1">
      <c r="B383" s="15"/>
      <c r="D383" s="15"/>
      <c r="H383" s="15"/>
      <c r="O383" s="15"/>
    </row>
    <row r="384" ht="15.75" customHeight="1">
      <c r="B384" s="15"/>
      <c r="D384" s="15"/>
      <c r="H384" s="15"/>
      <c r="O384" s="15"/>
    </row>
    <row r="385" ht="15.75" customHeight="1">
      <c r="B385" s="15"/>
      <c r="D385" s="15"/>
      <c r="H385" s="15"/>
      <c r="O385" s="15"/>
    </row>
    <row r="386" ht="15.75" customHeight="1">
      <c r="B386" s="15"/>
      <c r="D386" s="15"/>
      <c r="H386" s="15"/>
      <c r="O386" s="15"/>
    </row>
    <row r="387" ht="15.75" customHeight="1">
      <c r="B387" s="15"/>
      <c r="D387" s="15"/>
      <c r="H387" s="15"/>
      <c r="O387" s="15"/>
    </row>
    <row r="388" ht="15.75" customHeight="1">
      <c r="B388" s="15"/>
      <c r="D388" s="15"/>
      <c r="H388" s="15"/>
      <c r="O388" s="15"/>
    </row>
    <row r="389" ht="15.75" customHeight="1">
      <c r="B389" s="15"/>
      <c r="D389" s="15"/>
      <c r="H389" s="15"/>
      <c r="O389" s="15"/>
    </row>
    <row r="390" ht="15.75" customHeight="1">
      <c r="B390" s="15"/>
      <c r="D390" s="15"/>
      <c r="H390" s="15"/>
      <c r="O390" s="15"/>
    </row>
    <row r="391" ht="15.75" customHeight="1">
      <c r="B391" s="15"/>
      <c r="D391" s="15"/>
      <c r="H391" s="15"/>
      <c r="O391" s="15"/>
    </row>
    <row r="392" ht="15.75" customHeight="1">
      <c r="B392" s="15"/>
      <c r="D392" s="15"/>
      <c r="H392" s="15"/>
      <c r="O392" s="15"/>
    </row>
    <row r="393" ht="15.75" customHeight="1">
      <c r="B393" s="15"/>
      <c r="D393" s="15"/>
      <c r="H393" s="15"/>
      <c r="O393" s="15"/>
    </row>
    <row r="394" ht="15.75" customHeight="1">
      <c r="B394" s="15"/>
      <c r="D394" s="15"/>
      <c r="H394" s="15"/>
      <c r="O394" s="15"/>
    </row>
    <row r="395" ht="15.75" customHeight="1">
      <c r="B395" s="15"/>
      <c r="D395" s="15"/>
      <c r="H395" s="15"/>
      <c r="O395" s="15"/>
    </row>
    <row r="396" ht="15.75" customHeight="1">
      <c r="B396" s="15"/>
      <c r="D396" s="15"/>
      <c r="H396" s="15"/>
      <c r="O396" s="15"/>
    </row>
    <row r="397" ht="15.75" customHeight="1">
      <c r="B397" s="15"/>
      <c r="D397" s="15"/>
      <c r="H397" s="15"/>
      <c r="O397" s="15"/>
    </row>
    <row r="398" ht="15.75" customHeight="1">
      <c r="B398" s="15"/>
      <c r="D398" s="15"/>
      <c r="H398" s="15"/>
      <c r="O398" s="15"/>
    </row>
    <row r="399" ht="15.75" customHeight="1">
      <c r="B399" s="15"/>
      <c r="D399" s="15"/>
      <c r="H399" s="15"/>
      <c r="O399" s="15"/>
    </row>
    <row r="400" ht="15.75" customHeight="1">
      <c r="B400" s="15"/>
      <c r="D400" s="15"/>
      <c r="H400" s="15"/>
      <c r="O400" s="15"/>
    </row>
    <row r="401" ht="15.75" customHeight="1">
      <c r="B401" s="15"/>
      <c r="D401" s="15"/>
      <c r="H401" s="15"/>
      <c r="O401" s="15"/>
    </row>
    <row r="402" ht="15.75" customHeight="1">
      <c r="B402" s="15"/>
      <c r="D402" s="15"/>
      <c r="H402" s="15"/>
      <c r="O402" s="15"/>
    </row>
    <row r="403" ht="15.75" customHeight="1">
      <c r="B403" s="15"/>
      <c r="D403" s="15"/>
      <c r="H403" s="15"/>
      <c r="O403" s="15"/>
    </row>
    <row r="404" ht="15.75" customHeight="1">
      <c r="B404" s="15"/>
      <c r="D404" s="15"/>
      <c r="H404" s="15"/>
      <c r="O404" s="15"/>
    </row>
    <row r="405" ht="15.75" customHeight="1">
      <c r="B405" s="15"/>
      <c r="D405" s="15"/>
      <c r="H405" s="15"/>
      <c r="O405" s="15"/>
    </row>
    <row r="406" ht="15.75" customHeight="1">
      <c r="B406" s="15"/>
      <c r="D406" s="15"/>
      <c r="H406" s="15"/>
      <c r="O406" s="15"/>
    </row>
    <row r="407" ht="15.75" customHeight="1">
      <c r="B407" s="15"/>
      <c r="D407" s="15"/>
      <c r="H407" s="15"/>
      <c r="O407" s="15"/>
    </row>
    <row r="408" ht="15.75" customHeight="1">
      <c r="B408" s="15"/>
      <c r="D408" s="15"/>
      <c r="H408" s="15"/>
      <c r="O408" s="15"/>
    </row>
    <row r="409" ht="15.75" customHeight="1">
      <c r="B409" s="15"/>
      <c r="D409" s="15"/>
      <c r="H409" s="15"/>
      <c r="O409" s="15"/>
    </row>
    <row r="410" ht="15.75" customHeight="1">
      <c r="B410" s="15"/>
      <c r="D410" s="15"/>
      <c r="H410" s="15"/>
      <c r="O410" s="15"/>
    </row>
    <row r="411" ht="15.75" customHeight="1">
      <c r="B411" s="15"/>
      <c r="D411" s="15"/>
      <c r="H411" s="15"/>
      <c r="O411" s="15"/>
    </row>
    <row r="412" ht="15.75" customHeight="1">
      <c r="B412" s="15"/>
      <c r="D412" s="15"/>
      <c r="H412" s="15"/>
      <c r="O412" s="15"/>
    </row>
    <row r="413" ht="15.75" customHeight="1">
      <c r="B413" s="15"/>
      <c r="D413" s="15"/>
      <c r="H413" s="15"/>
      <c r="O413" s="15"/>
    </row>
    <row r="414" ht="15.75" customHeight="1">
      <c r="B414" s="15"/>
      <c r="D414" s="15"/>
      <c r="H414" s="15"/>
      <c r="O414" s="15"/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114"/>
  <conditionalFormatting sqref="H5:H114">
    <cfRule type="expression" dxfId="4" priority="1">
      <formula>H5="Conditional"</formula>
    </cfRule>
  </conditionalFormatting>
  <dataValidations>
    <dataValidation type="list" allowBlank="1" sqref="B5:B414">
      <formula1>Lists!$F$2:$F$9</formula1>
    </dataValidation>
    <dataValidation type="list" allowBlank="1" sqref="H5:H414">
      <formula1>Lists!$H$2:$H$4</formula1>
    </dataValidation>
    <dataValidation type="list" allowBlank="1" sqref="D5:D414">
      <formula1>Lists!$G$2:$G$6</formula1>
    </dataValidation>
    <dataValidation type="list" allowBlank="1" sqref="O5:O414">
      <formula1>Lists!$E$2:$E$3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12.0"/>
    <col customWidth="1" min="4" max="4" width="24.0"/>
    <col customWidth="1" min="5" max="5" width="12.0"/>
    <col customWidth="1" min="6" max="7" width="18.0"/>
    <col customWidth="1" min="8" max="8" width="12.0"/>
    <col customWidth="1" min="9" max="9" width="46.0"/>
    <col customWidth="1" min="10" max="10" width="12.0"/>
    <col customWidth="1" min="11" max="11" width="9.0"/>
    <col customWidth="1" min="12" max="26" width="8.71"/>
  </cols>
  <sheetData>
    <row r="1">
      <c r="A1" s="1" t="s">
        <v>358</v>
      </c>
    </row>
    <row r="2">
      <c r="A2" s="3" t="s">
        <v>359</v>
      </c>
    </row>
    <row r="4">
      <c r="A4" s="5" t="s">
        <v>143</v>
      </c>
      <c r="B4" s="5" t="s">
        <v>144</v>
      </c>
      <c r="C4" s="5" t="s">
        <v>360</v>
      </c>
      <c r="D4" s="5" t="s">
        <v>361</v>
      </c>
      <c r="E4" s="5" t="s">
        <v>363</v>
      </c>
      <c r="F4" s="5" t="s">
        <v>364</v>
      </c>
      <c r="G4" s="5" t="s">
        <v>365</v>
      </c>
      <c r="H4" s="5" t="s">
        <v>366</v>
      </c>
      <c r="I4" s="5" t="s">
        <v>367</v>
      </c>
      <c r="J4" s="5" t="s">
        <v>368</v>
      </c>
      <c r="K4" s="5" t="s">
        <v>369</v>
      </c>
    </row>
    <row r="5">
      <c r="A5" s="22">
        <v>1.0</v>
      </c>
      <c r="B5" s="23" t="s">
        <v>167</v>
      </c>
      <c r="C5" s="22">
        <f>COUNTIFS('Document Checklist'!$J$5:$J$1000,$A5,'Document Checklist'!$B$5:$B$1000,"Agri NOC")</f>
        <v>4</v>
      </c>
      <c r="D5" s="22">
        <f>COUNTIFS('Document Checklist'!$J$5:$J$1000,$A5,'Document Checklist'!$B$5:$B$1000,"DTCP Approval")</f>
        <v>1</v>
      </c>
      <c r="E5" s="22">
        <f>COUNTIFS('Document Checklist'!$J$5:$J$1000,$A5,'Document Checklist'!$B$5:$B$1000,"Local BDO Approval")</f>
        <v>0</v>
      </c>
      <c r="F5" s="22">
        <f>COUNTIFS('Document Checklist'!$J$5:$J$1000,$A5,'Document Checklist'!$B$5:$B$1000,"Town Approval")</f>
        <v>0</v>
      </c>
      <c r="G5" s="22">
        <f>COUNTIFS('Document Checklist'!$J$5:$J$1000,$A5,'Document Checklist'!$B$5:$B$1000,"City Approval")</f>
        <v>0</v>
      </c>
      <c r="H5" s="22">
        <f>COUNTIFS('Document Checklist'!$J$5:$J$1000,$A5,'Document Checklist'!$B$5:$B$1000,"Gift Deed")</f>
        <v>0</v>
      </c>
      <c r="I5" s="22">
        <f>COUNTIFS('Document Checklist'!$J$5:$J$1000,$A5,'Document Checklist'!$B$5:$B$1000,"RERA")</f>
        <v>0</v>
      </c>
      <c r="J5" s="22">
        <f>COUNTIFS('Document Checklist'!$J$5:$J$1000,$A5,'Document Checklist'!$B$5:$B$1000,"Plot Sale")</f>
        <v>0</v>
      </c>
      <c r="K5" s="22">
        <f t="shared" ref="K5:K17" si="1">SUM(C5:J5)</f>
        <v>5</v>
      </c>
    </row>
    <row r="6">
      <c r="A6" s="22">
        <v>2.0</v>
      </c>
      <c r="B6" s="23" t="s">
        <v>282</v>
      </c>
      <c r="C6" s="22">
        <f>COUNTIFS('Document Checklist'!$J$5:$J$1000,$A6,'Document Checklist'!$B$5:$B$1000,"Agri NOC")</f>
        <v>3</v>
      </c>
      <c r="D6" s="22">
        <f>COUNTIFS('Document Checklist'!$J$5:$J$1000,$A6,'Document Checklist'!$B$5:$B$1000,"DTCP Approval")</f>
        <v>0</v>
      </c>
      <c r="E6" s="22">
        <f>COUNTIFS('Document Checklist'!$J$5:$J$1000,$A6,'Document Checklist'!$B$5:$B$1000,"Local BDO Approval")</f>
        <v>0</v>
      </c>
      <c r="F6" s="22">
        <f>COUNTIFS('Document Checklist'!$J$5:$J$1000,$A6,'Document Checklist'!$B$5:$B$1000,"Town Approval")</f>
        <v>1</v>
      </c>
      <c r="G6" s="22">
        <f>COUNTIFS('Document Checklist'!$J$5:$J$1000,$A6,'Document Checklist'!$B$5:$B$1000,"City Approval")</f>
        <v>1</v>
      </c>
      <c r="H6" s="22">
        <f>COUNTIFS('Document Checklist'!$J$5:$J$1000,$A6,'Document Checklist'!$B$5:$B$1000,"Gift Deed")</f>
        <v>0</v>
      </c>
      <c r="I6" s="22">
        <f>COUNTIFS('Document Checklist'!$J$5:$J$1000,$A6,'Document Checklist'!$B$5:$B$1000,"RERA")</f>
        <v>0</v>
      </c>
      <c r="J6" s="22">
        <f>COUNTIFS('Document Checklist'!$J$5:$J$1000,$A6,'Document Checklist'!$B$5:$B$1000,"Plot Sale")</f>
        <v>0</v>
      </c>
      <c r="K6" s="22">
        <f t="shared" si="1"/>
        <v>5</v>
      </c>
    </row>
    <row r="7">
      <c r="A7" s="22">
        <v>3.0</v>
      </c>
      <c r="B7" s="23" t="s">
        <v>375</v>
      </c>
      <c r="C7" s="22">
        <f>COUNTIFS('Document Checklist'!$J$5:$J$1000,$A7,'Document Checklist'!$B$5:$B$1000,"Agri NOC")</f>
        <v>7</v>
      </c>
      <c r="D7" s="22">
        <f>COUNTIFS('Document Checklist'!$J$5:$J$1000,$A7,'Document Checklist'!$B$5:$B$1000,"DTCP Approval")</f>
        <v>0</v>
      </c>
      <c r="E7" s="22">
        <f>COUNTIFS('Document Checklist'!$J$5:$J$1000,$A7,'Document Checklist'!$B$5:$B$1000,"Local BDO Approval")</f>
        <v>0</v>
      </c>
      <c r="F7" s="22">
        <f>COUNTIFS('Document Checklist'!$J$5:$J$1000,$A7,'Document Checklist'!$B$5:$B$1000,"Town Approval")</f>
        <v>1</v>
      </c>
      <c r="G7" s="22">
        <f>COUNTIFS('Document Checklist'!$J$5:$J$1000,$A7,'Document Checklist'!$B$5:$B$1000,"City Approval")</f>
        <v>1</v>
      </c>
      <c r="H7" s="22">
        <f>COUNTIFS('Document Checklist'!$J$5:$J$1000,$A7,'Document Checklist'!$B$5:$B$1000,"Gift Deed")</f>
        <v>0</v>
      </c>
      <c r="I7" s="22">
        <f>COUNTIFS('Document Checklist'!$J$5:$J$1000,$A7,'Document Checklist'!$B$5:$B$1000,"RERA")</f>
        <v>0</v>
      </c>
      <c r="J7" s="22">
        <f>COUNTIFS('Document Checklist'!$J$5:$J$1000,$A7,'Document Checklist'!$B$5:$B$1000,"Plot Sale")</f>
        <v>0</v>
      </c>
      <c r="K7" s="22">
        <f t="shared" si="1"/>
        <v>9</v>
      </c>
    </row>
    <row r="8">
      <c r="A8" s="22">
        <v>4.0</v>
      </c>
      <c r="B8" s="23" t="s">
        <v>421</v>
      </c>
      <c r="C8" s="22">
        <f>COUNTIFS('Document Checklist'!$J$5:$J$1000,$A8,'Document Checklist'!$B$5:$B$1000,"Agri NOC")</f>
        <v>1</v>
      </c>
      <c r="D8" s="22">
        <f>COUNTIFS('Document Checklist'!$J$5:$J$1000,$A8,'Document Checklist'!$B$5:$B$1000,"DTCP Approval")</f>
        <v>3</v>
      </c>
      <c r="E8" s="22">
        <f>COUNTIFS('Document Checklist'!$J$5:$J$1000,$A8,'Document Checklist'!$B$5:$B$1000,"Local BDO Approval")</f>
        <v>0</v>
      </c>
      <c r="F8" s="22">
        <f>COUNTIFS('Document Checklist'!$J$5:$J$1000,$A8,'Document Checklist'!$B$5:$B$1000,"Town Approval")</f>
        <v>0</v>
      </c>
      <c r="G8" s="22">
        <f>COUNTIFS('Document Checklist'!$J$5:$J$1000,$A8,'Document Checklist'!$B$5:$B$1000,"City Approval")</f>
        <v>0</v>
      </c>
      <c r="H8" s="22">
        <f>COUNTIFS('Document Checklist'!$J$5:$J$1000,$A8,'Document Checklist'!$B$5:$B$1000,"Gift Deed")</f>
        <v>0</v>
      </c>
      <c r="I8" s="22">
        <f>COUNTIFS('Document Checklist'!$J$5:$J$1000,$A8,'Document Checklist'!$B$5:$B$1000,"RERA")</f>
        <v>0</v>
      </c>
      <c r="J8" s="22">
        <f>COUNTIFS('Document Checklist'!$J$5:$J$1000,$A8,'Document Checklist'!$B$5:$B$1000,"Plot Sale")</f>
        <v>0</v>
      </c>
      <c r="K8" s="22">
        <f t="shared" si="1"/>
        <v>4</v>
      </c>
    </row>
    <row r="9">
      <c r="A9" s="22">
        <v>5.0</v>
      </c>
      <c r="B9" s="23" t="s">
        <v>464</v>
      </c>
      <c r="C9" s="22">
        <f>COUNTIFS('Document Checklist'!$J$5:$J$1000,$A9,'Document Checklist'!$B$5:$B$1000,"Agri NOC")</f>
        <v>1</v>
      </c>
      <c r="D9" s="22">
        <f>COUNTIFS('Document Checklist'!$J$5:$J$1000,$A9,'Document Checklist'!$B$5:$B$1000,"DTCP Approval")</f>
        <v>2</v>
      </c>
      <c r="E9" s="22">
        <f>COUNTIFS('Document Checklist'!$J$5:$J$1000,$A9,'Document Checklist'!$B$5:$B$1000,"Local BDO Approval")</f>
        <v>2</v>
      </c>
      <c r="F9" s="22">
        <f>COUNTIFS('Document Checklist'!$J$5:$J$1000,$A9,'Document Checklist'!$B$5:$B$1000,"Town Approval")</f>
        <v>3</v>
      </c>
      <c r="G9" s="22">
        <f>COUNTIFS('Document Checklist'!$J$5:$J$1000,$A9,'Document Checklist'!$B$5:$B$1000,"City Approval")</f>
        <v>6</v>
      </c>
      <c r="H9" s="22">
        <f>COUNTIFS('Document Checklist'!$J$5:$J$1000,$A9,'Document Checklist'!$B$5:$B$1000,"Gift Deed")</f>
        <v>0</v>
      </c>
      <c r="I9" s="22">
        <f>COUNTIFS('Document Checklist'!$J$5:$J$1000,$A9,'Document Checklist'!$B$5:$B$1000,"RERA")</f>
        <v>0</v>
      </c>
      <c r="J9" s="22">
        <f>COUNTIFS('Document Checklist'!$J$5:$J$1000,$A9,'Document Checklist'!$B$5:$B$1000,"Plot Sale")</f>
        <v>0</v>
      </c>
      <c r="K9" s="22">
        <f t="shared" si="1"/>
        <v>14</v>
      </c>
    </row>
    <row r="10">
      <c r="A10" s="22">
        <v>6.0</v>
      </c>
      <c r="B10" s="23" t="s">
        <v>538</v>
      </c>
      <c r="C10" s="22">
        <f>COUNTIFS('Document Checklist'!$J$5:$J$1000,$A10,'Document Checklist'!$B$5:$B$1000,"Agri NOC")</f>
        <v>0</v>
      </c>
      <c r="D10" s="22">
        <f>COUNTIFS('Document Checklist'!$J$5:$J$1000,$A10,'Document Checklist'!$B$5:$B$1000,"DTCP Approval")</f>
        <v>7</v>
      </c>
      <c r="E10" s="22">
        <f>COUNTIFS('Document Checklist'!$J$5:$J$1000,$A10,'Document Checklist'!$B$5:$B$1000,"Local BDO Approval")</f>
        <v>2</v>
      </c>
      <c r="F10" s="22">
        <f>COUNTIFS('Document Checklist'!$J$5:$J$1000,$A10,'Document Checklist'!$B$5:$B$1000,"Town Approval")</f>
        <v>2</v>
      </c>
      <c r="G10" s="22">
        <f>COUNTIFS('Document Checklist'!$J$5:$J$1000,$A10,'Document Checklist'!$B$5:$B$1000,"City Approval")</f>
        <v>2</v>
      </c>
      <c r="H10" s="22">
        <f>COUNTIFS('Document Checklist'!$J$5:$J$1000,$A10,'Document Checklist'!$B$5:$B$1000,"Gift Deed")</f>
        <v>0</v>
      </c>
      <c r="I10" s="22">
        <f>COUNTIFS('Document Checklist'!$J$5:$J$1000,$A10,'Document Checklist'!$B$5:$B$1000,"RERA")</f>
        <v>0</v>
      </c>
      <c r="J10" s="22">
        <f>COUNTIFS('Document Checklist'!$J$5:$J$1000,$A10,'Document Checklist'!$B$5:$B$1000,"Plot Sale")</f>
        <v>0</v>
      </c>
      <c r="K10" s="22">
        <f t="shared" si="1"/>
        <v>13</v>
      </c>
    </row>
    <row r="11">
      <c r="A11" s="22">
        <v>7.0</v>
      </c>
      <c r="B11" s="23" t="s">
        <v>568</v>
      </c>
      <c r="C11" s="22">
        <f>COUNTIFS('Document Checklist'!$J$5:$J$1000,$A11,'Document Checklist'!$B$5:$B$1000,"Agri NOC")</f>
        <v>0</v>
      </c>
      <c r="D11" s="22">
        <f>COUNTIFS('Document Checklist'!$J$5:$J$1000,$A11,'Document Checklist'!$B$5:$B$1000,"DTCP Approval")</f>
        <v>1</v>
      </c>
      <c r="E11" s="22">
        <f>COUNTIFS('Document Checklist'!$J$5:$J$1000,$A11,'Document Checklist'!$B$5:$B$1000,"Local BDO Approval")</f>
        <v>0</v>
      </c>
      <c r="F11" s="22">
        <f>COUNTIFS('Document Checklist'!$J$5:$J$1000,$A11,'Document Checklist'!$B$5:$B$1000,"Town Approval")</f>
        <v>0</v>
      </c>
      <c r="G11" s="22">
        <f>COUNTIFS('Document Checklist'!$J$5:$J$1000,$A11,'Document Checklist'!$B$5:$B$1000,"City Approval")</f>
        <v>0</v>
      </c>
      <c r="H11" s="22">
        <f>COUNTIFS('Document Checklist'!$J$5:$J$1000,$A11,'Document Checklist'!$B$5:$B$1000,"Gift Deed")</f>
        <v>0</v>
      </c>
      <c r="I11" s="22">
        <f>COUNTIFS('Document Checklist'!$J$5:$J$1000,$A11,'Document Checklist'!$B$5:$B$1000,"RERA")</f>
        <v>0</v>
      </c>
      <c r="J11" s="22">
        <f>COUNTIFS('Document Checklist'!$J$5:$J$1000,$A11,'Document Checklist'!$B$5:$B$1000,"Plot Sale")</f>
        <v>0</v>
      </c>
      <c r="K11" s="22">
        <f t="shared" si="1"/>
        <v>1</v>
      </c>
    </row>
    <row r="12">
      <c r="A12" s="22">
        <v>8.0</v>
      </c>
      <c r="B12" s="23" t="s">
        <v>589</v>
      </c>
      <c r="C12" s="22">
        <f>COUNTIFS('Document Checklist'!$J$5:$J$1000,$A12,'Document Checklist'!$B$5:$B$1000,"Agri NOC")</f>
        <v>0</v>
      </c>
      <c r="D12" s="22">
        <f>COUNTIFS('Document Checklist'!$J$5:$J$1000,$A12,'Document Checklist'!$B$5:$B$1000,"DTCP Approval")</f>
        <v>1</v>
      </c>
      <c r="E12" s="22">
        <f>COUNTIFS('Document Checklist'!$J$5:$J$1000,$A12,'Document Checklist'!$B$5:$B$1000,"Local BDO Approval")</f>
        <v>1</v>
      </c>
      <c r="F12" s="22">
        <f>COUNTIFS('Document Checklist'!$J$5:$J$1000,$A12,'Document Checklist'!$B$5:$B$1000,"Town Approval")</f>
        <v>1</v>
      </c>
      <c r="G12" s="22">
        <f>COUNTIFS('Document Checklist'!$J$5:$J$1000,$A12,'Document Checklist'!$B$5:$B$1000,"City Approval")</f>
        <v>1</v>
      </c>
      <c r="H12" s="22">
        <f>COUNTIFS('Document Checklist'!$J$5:$J$1000,$A12,'Document Checklist'!$B$5:$B$1000,"Gift Deed")</f>
        <v>0</v>
      </c>
      <c r="I12" s="22">
        <f>COUNTIFS('Document Checklist'!$J$5:$J$1000,$A12,'Document Checklist'!$B$5:$B$1000,"RERA")</f>
        <v>0</v>
      </c>
      <c r="J12" s="22">
        <f>COUNTIFS('Document Checklist'!$J$5:$J$1000,$A12,'Document Checklist'!$B$5:$B$1000,"Plot Sale")</f>
        <v>0</v>
      </c>
      <c r="K12" s="22">
        <f t="shared" si="1"/>
        <v>4</v>
      </c>
    </row>
    <row r="13">
      <c r="A13" s="22">
        <v>9.0</v>
      </c>
      <c r="B13" s="23" t="s">
        <v>607</v>
      </c>
      <c r="C13" s="22">
        <f>COUNTIFS('Document Checklist'!$J$5:$J$1000,$A13,'Document Checklist'!$B$5:$B$1000,"Agri NOC")</f>
        <v>0</v>
      </c>
      <c r="D13" s="22">
        <f>COUNTIFS('Document Checklist'!$J$5:$J$1000,$A13,'Document Checklist'!$B$5:$B$1000,"DTCP Approval")</f>
        <v>2</v>
      </c>
      <c r="E13" s="22">
        <f>COUNTIFS('Document Checklist'!$J$5:$J$1000,$A13,'Document Checklist'!$B$5:$B$1000,"Local BDO Approval")</f>
        <v>4</v>
      </c>
      <c r="F13" s="22">
        <f>COUNTIFS('Document Checklist'!$J$5:$J$1000,$A13,'Document Checklist'!$B$5:$B$1000,"Town Approval")</f>
        <v>1</v>
      </c>
      <c r="G13" s="22">
        <f>COUNTIFS('Document Checklist'!$J$5:$J$1000,$A13,'Document Checklist'!$B$5:$B$1000,"City Approval")</f>
        <v>1</v>
      </c>
      <c r="H13" s="22">
        <f>COUNTIFS('Document Checklist'!$J$5:$J$1000,$A13,'Document Checklist'!$B$5:$B$1000,"Gift Deed")</f>
        <v>10</v>
      </c>
      <c r="I13" s="22">
        <f>COUNTIFS('Document Checklist'!$J$5:$J$1000,$A13,'Document Checklist'!$B$5:$B$1000,"RERA")</f>
        <v>0</v>
      </c>
      <c r="J13" s="22">
        <f>COUNTIFS('Document Checklist'!$J$5:$J$1000,$A13,'Document Checklist'!$B$5:$B$1000,"Plot Sale")</f>
        <v>0</v>
      </c>
      <c r="K13" s="22">
        <f t="shared" si="1"/>
        <v>18</v>
      </c>
    </row>
    <row r="14">
      <c r="A14" s="22">
        <v>10.0</v>
      </c>
      <c r="B14" s="23" t="s">
        <v>631</v>
      </c>
      <c r="C14" s="22">
        <f>COUNTIFS('Document Checklist'!$J$5:$J$1000,$A14,'Document Checklist'!$B$5:$B$1000,"Agri NOC")</f>
        <v>0</v>
      </c>
      <c r="D14" s="22">
        <f>COUNTIFS('Document Checklist'!$J$5:$J$1000,$A14,'Document Checklist'!$B$5:$B$1000,"DTCP Approval")</f>
        <v>0</v>
      </c>
      <c r="E14" s="22">
        <f>COUNTIFS('Document Checklist'!$J$5:$J$1000,$A14,'Document Checklist'!$B$5:$B$1000,"Local BDO Approval")</f>
        <v>1</v>
      </c>
      <c r="F14" s="22">
        <f>COUNTIFS('Document Checklist'!$J$5:$J$1000,$A14,'Document Checklist'!$B$5:$B$1000,"Town Approval")</f>
        <v>1</v>
      </c>
      <c r="G14" s="22">
        <f>COUNTIFS('Document Checklist'!$J$5:$J$1000,$A14,'Document Checklist'!$B$5:$B$1000,"City Approval")</f>
        <v>1</v>
      </c>
      <c r="H14" s="22">
        <f>COUNTIFS('Document Checklist'!$J$5:$J$1000,$A14,'Document Checklist'!$B$5:$B$1000,"Gift Deed")</f>
        <v>0</v>
      </c>
      <c r="I14" s="22">
        <f>COUNTIFS('Document Checklist'!$J$5:$J$1000,$A14,'Document Checklist'!$B$5:$B$1000,"RERA")</f>
        <v>0</v>
      </c>
      <c r="J14" s="22">
        <f>COUNTIFS('Document Checklist'!$J$5:$J$1000,$A14,'Document Checklist'!$B$5:$B$1000,"Plot Sale")</f>
        <v>0</v>
      </c>
      <c r="K14" s="22">
        <f t="shared" si="1"/>
        <v>3</v>
      </c>
    </row>
    <row r="15">
      <c r="A15" s="22">
        <v>11.0</v>
      </c>
      <c r="B15" s="23" t="s">
        <v>676</v>
      </c>
      <c r="C15" s="22">
        <f>COUNTIFS('Document Checklist'!$J$5:$J$1000,$A15,'Document Checklist'!$B$5:$B$1000,"Agri NOC")</f>
        <v>0</v>
      </c>
      <c r="D15" s="22">
        <f>COUNTIFS('Document Checklist'!$J$5:$J$1000,$A15,'Document Checklist'!$B$5:$B$1000,"DTCP Approval")</f>
        <v>0</v>
      </c>
      <c r="E15" s="22">
        <f>COUNTIFS('Document Checklist'!$J$5:$J$1000,$A15,'Document Checklist'!$B$5:$B$1000,"Local BDO Approval")</f>
        <v>1</v>
      </c>
      <c r="F15" s="22">
        <f>COUNTIFS('Document Checklist'!$J$5:$J$1000,$A15,'Document Checklist'!$B$5:$B$1000,"Town Approval")</f>
        <v>1</v>
      </c>
      <c r="G15" s="22">
        <f>COUNTIFS('Document Checklist'!$J$5:$J$1000,$A15,'Document Checklist'!$B$5:$B$1000,"City Approval")</f>
        <v>1</v>
      </c>
      <c r="H15" s="22">
        <f>COUNTIFS('Document Checklist'!$J$5:$J$1000,$A15,'Document Checklist'!$B$5:$B$1000,"Gift Deed")</f>
        <v>0</v>
      </c>
      <c r="I15" s="22">
        <f>COUNTIFS('Document Checklist'!$J$5:$J$1000,$A15,'Document Checklist'!$B$5:$B$1000,"RERA")</f>
        <v>0</v>
      </c>
      <c r="J15" s="22">
        <f>COUNTIFS('Document Checklist'!$J$5:$J$1000,$A15,'Document Checklist'!$B$5:$B$1000,"Plot Sale")</f>
        <v>1</v>
      </c>
      <c r="K15" s="22">
        <f t="shared" si="1"/>
        <v>4</v>
      </c>
    </row>
    <row r="16">
      <c r="A16" s="22">
        <v>12.0</v>
      </c>
      <c r="B16" s="23" t="s">
        <v>367</v>
      </c>
      <c r="C16" s="22">
        <f>COUNTIFS('Document Checklist'!$J$5:$J$1000,$A16,'Document Checklist'!$B$5:$B$1000,"Agri NOC")</f>
        <v>0</v>
      </c>
      <c r="D16" s="22">
        <f>COUNTIFS('Document Checklist'!$J$5:$J$1000,$A16,'Document Checklist'!$B$5:$B$1000,"DTCP Approval")</f>
        <v>0</v>
      </c>
      <c r="E16" s="22">
        <f>COUNTIFS('Document Checklist'!$J$5:$J$1000,$A16,'Document Checklist'!$B$5:$B$1000,"Local BDO Approval")</f>
        <v>0</v>
      </c>
      <c r="F16" s="22">
        <f>COUNTIFS('Document Checklist'!$J$5:$J$1000,$A16,'Document Checklist'!$B$5:$B$1000,"Town Approval")</f>
        <v>0</v>
      </c>
      <c r="G16" s="22">
        <f>COUNTIFS('Document Checklist'!$J$5:$J$1000,$A16,'Document Checklist'!$B$5:$B$1000,"City Approval")</f>
        <v>0</v>
      </c>
      <c r="H16" s="22">
        <f>COUNTIFS('Document Checklist'!$J$5:$J$1000,$A16,'Document Checklist'!$B$5:$B$1000,"Gift Deed")</f>
        <v>0</v>
      </c>
      <c r="I16" s="22">
        <f>COUNTIFS('Document Checklist'!$J$5:$J$1000,$A16,'Document Checklist'!$B$5:$B$1000,"RERA")</f>
        <v>15</v>
      </c>
      <c r="J16" s="22">
        <f>COUNTIFS('Document Checklist'!$J$5:$J$1000,$A16,'Document Checklist'!$B$5:$B$1000,"Plot Sale")</f>
        <v>1</v>
      </c>
      <c r="K16" s="22">
        <f t="shared" si="1"/>
        <v>16</v>
      </c>
    </row>
    <row r="17">
      <c r="A17" s="22">
        <v>13.0</v>
      </c>
      <c r="B17" s="23" t="s">
        <v>717</v>
      </c>
      <c r="C17" s="22">
        <f>COUNTIFS('Document Checklist'!$J$5:$J$1000,$A17,'Document Checklist'!$B$5:$B$1000,"Agri NOC")</f>
        <v>0</v>
      </c>
      <c r="D17" s="22">
        <f>COUNTIFS('Document Checklist'!$J$5:$J$1000,$A17,'Document Checklist'!$B$5:$B$1000,"DTCP Approval")</f>
        <v>0</v>
      </c>
      <c r="E17" s="22">
        <f>COUNTIFS('Document Checklist'!$J$5:$J$1000,$A17,'Document Checklist'!$B$5:$B$1000,"Local BDO Approval")</f>
        <v>0</v>
      </c>
      <c r="F17" s="22">
        <f>COUNTIFS('Document Checklist'!$J$5:$J$1000,$A17,'Document Checklist'!$B$5:$B$1000,"Town Approval")</f>
        <v>0</v>
      </c>
      <c r="G17" s="22">
        <f>COUNTIFS('Document Checklist'!$J$5:$J$1000,$A17,'Document Checklist'!$B$5:$B$1000,"City Approval")</f>
        <v>0</v>
      </c>
      <c r="H17" s="22">
        <f>COUNTIFS('Document Checklist'!$J$5:$J$1000,$A17,'Document Checklist'!$B$5:$B$1000,"Gift Deed")</f>
        <v>0</v>
      </c>
      <c r="I17" s="22">
        <f>COUNTIFS('Document Checklist'!$J$5:$J$1000,$A17,'Document Checklist'!$B$5:$B$1000,"RERA")</f>
        <v>0</v>
      </c>
      <c r="J17" s="22">
        <f>COUNTIFS('Document Checklist'!$J$5:$J$1000,$A17,'Document Checklist'!$B$5:$B$1000,"Plot Sale")</f>
        <v>14</v>
      </c>
      <c r="K17" s="22">
        <f t="shared" si="1"/>
        <v>14</v>
      </c>
    </row>
    <row r="18">
      <c r="B18" s="25" t="s">
        <v>369</v>
      </c>
      <c r="C18" s="26">
        <f t="shared" ref="C18:K18" si="2">SUM(C5:C17)</f>
        <v>16</v>
      </c>
      <c r="D18" s="26">
        <f t="shared" si="2"/>
        <v>17</v>
      </c>
      <c r="E18" s="26">
        <f t="shared" si="2"/>
        <v>11</v>
      </c>
      <c r="F18" s="26">
        <f t="shared" si="2"/>
        <v>11</v>
      </c>
      <c r="G18" s="26">
        <f t="shared" si="2"/>
        <v>14</v>
      </c>
      <c r="H18" s="26">
        <f t="shared" si="2"/>
        <v>10</v>
      </c>
      <c r="I18" s="26">
        <f t="shared" si="2"/>
        <v>15</v>
      </c>
      <c r="J18" s="26">
        <f t="shared" si="2"/>
        <v>16</v>
      </c>
      <c r="K18" s="26">
        <f t="shared" si="2"/>
        <v>110</v>
      </c>
    </row>
    <row r="20">
      <c r="A20" s="25" t="s">
        <v>917</v>
      </c>
    </row>
    <row r="21" ht="15.75" customHeight="1">
      <c r="A21" s="27" t="s">
        <v>6</v>
      </c>
      <c r="B21" s="27" t="s">
        <v>142</v>
      </c>
      <c r="C21" s="27" t="s">
        <v>143</v>
      </c>
      <c r="D21" s="27" t="s">
        <v>144</v>
      </c>
      <c r="E21" s="27" t="s">
        <v>145</v>
      </c>
      <c r="F21" s="27" t="s">
        <v>146</v>
      </c>
      <c r="G21" s="27" t="s">
        <v>347</v>
      </c>
      <c r="H21" s="27" t="s">
        <v>348</v>
      </c>
      <c r="I21" s="27" t="s">
        <v>350</v>
      </c>
      <c r="J21" s="27" t="s">
        <v>353</v>
      </c>
    </row>
    <row r="22" ht="15.75" customHeight="1">
      <c r="A22" s="7">
        <v>1.0</v>
      </c>
      <c r="B22" s="7" t="s">
        <v>63</v>
      </c>
      <c r="C22" s="7">
        <v>1.0</v>
      </c>
      <c r="D22" s="8" t="s">
        <v>167</v>
      </c>
      <c r="E22" s="7" t="s">
        <v>169</v>
      </c>
      <c r="F22" s="8" t="s">
        <v>171</v>
      </c>
      <c r="G22" s="8" t="s">
        <v>360</v>
      </c>
      <c r="H22" s="7" t="s">
        <v>379</v>
      </c>
      <c r="I22" s="10" t="s">
        <v>380</v>
      </c>
      <c r="J22" s="7" t="s">
        <v>41</v>
      </c>
    </row>
    <row r="23" ht="15.75" customHeight="1">
      <c r="A23" s="7">
        <v>2.0</v>
      </c>
      <c r="B23" s="7" t="s">
        <v>63</v>
      </c>
      <c r="C23" s="7">
        <v>1.0</v>
      </c>
      <c r="D23" s="8" t="s">
        <v>167</v>
      </c>
      <c r="E23" s="7" t="s">
        <v>169</v>
      </c>
      <c r="F23" s="8" t="s">
        <v>171</v>
      </c>
      <c r="G23" s="8" t="s">
        <v>360</v>
      </c>
      <c r="H23" s="7" t="s">
        <v>393</v>
      </c>
      <c r="I23" s="10" t="s">
        <v>394</v>
      </c>
      <c r="J23" s="7" t="s">
        <v>41</v>
      </c>
    </row>
    <row r="24" ht="15.75" customHeight="1">
      <c r="A24" s="7">
        <v>3.0</v>
      </c>
      <c r="B24" s="7" t="s">
        <v>63</v>
      </c>
      <c r="C24" s="7">
        <v>1.0</v>
      </c>
      <c r="D24" s="8" t="s">
        <v>167</v>
      </c>
      <c r="E24" s="7" t="s">
        <v>250</v>
      </c>
      <c r="F24" s="8" t="s">
        <v>251</v>
      </c>
      <c r="G24" s="8" t="s">
        <v>360</v>
      </c>
      <c r="H24" s="7" t="s">
        <v>255</v>
      </c>
      <c r="I24" s="10" t="s">
        <v>398</v>
      </c>
      <c r="J24" s="7" t="s">
        <v>41</v>
      </c>
    </row>
    <row r="25" ht="15.75" customHeight="1">
      <c r="A25" s="7">
        <v>4.0</v>
      </c>
      <c r="B25" s="7" t="s">
        <v>63</v>
      </c>
      <c r="C25" s="7">
        <v>1.0</v>
      </c>
      <c r="D25" s="8" t="s">
        <v>167</v>
      </c>
      <c r="E25" s="7" t="s">
        <v>259</v>
      </c>
      <c r="F25" s="8" t="s">
        <v>260</v>
      </c>
      <c r="G25" s="8" t="s">
        <v>360</v>
      </c>
      <c r="H25" s="7" t="s">
        <v>405</v>
      </c>
      <c r="I25" s="10" t="s">
        <v>406</v>
      </c>
      <c r="J25" s="7" t="s">
        <v>41</v>
      </c>
    </row>
    <row r="26" ht="15.75" customHeight="1">
      <c r="A26" s="7">
        <v>5.0</v>
      </c>
      <c r="B26" s="7" t="s">
        <v>63</v>
      </c>
      <c r="C26" s="7">
        <v>1.0</v>
      </c>
      <c r="D26" s="8" t="s">
        <v>167</v>
      </c>
      <c r="E26" s="7" t="s">
        <v>259</v>
      </c>
      <c r="F26" s="8" t="s">
        <v>260</v>
      </c>
      <c r="G26" s="8" t="s">
        <v>361</v>
      </c>
      <c r="H26" s="7" t="s">
        <v>565</v>
      </c>
      <c r="I26" s="10" t="s">
        <v>566</v>
      </c>
      <c r="J26" s="7" t="s">
        <v>41</v>
      </c>
    </row>
    <row r="27" ht="15.75" customHeight="1">
      <c r="A27" s="7">
        <v>6.0</v>
      </c>
      <c r="B27" s="7" t="s">
        <v>63</v>
      </c>
      <c r="C27" s="7">
        <v>2.0</v>
      </c>
      <c r="D27" s="8" t="s">
        <v>282</v>
      </c>
      <c r="E27" s="7" t="s">
        <v>283</v>
      </c>
      <c r="F27" s="8" t="s">
        <v>284</v>
      </c>
      <c r="G27" s="8" t="s">
        <v>360</v>
      </c>
      <c r="H27" s="7" t="s">
        <v>385</v>
      </c>
      <c r="I27" s="10" t="s">
        <v>386</v>
      </c>
      <c r="J27" s="7" t="s">
        <v>41</v>
      </c>
    </row>
    <row r="28" ht="15.75" customHeight="1">
      <c r="A28" s="7">
        <v>7.0</v>
      </c>
      <c r="B28" s="7" t="s">
        <v>63</v>
      </c>
      <c r="C28" s="7">
        <v>2.0</v>
      </c>
      <c r="D28" s="8" t="s">
        <v>282</v>
      </c>
      <c r="E28" s="7" t="s">
        <v>283</v>
      </c>
      <c r="F28" s="8" t="s">
        <v>284</v>
      </c>
      <c r="G28" s="8" t="s">
        <v>360</v>
      </c>
      <c r="H28" s="7" t="s">
        <v>428</v>
      </c>
      <c r="I28" s="10" t="s">
        <v>430</v>
      </c>
      <c r="J28" s="7" t="s">
        <v>41</v>
      </c>
    </row>
    <row r="29" ht="15.75" customHeight="1">
      <c r="A29" s="7">
        <v>8.0</v>
      </c>
      <c r="B29" s="7" t="s">
        <v>63</v>
      </c>
      <c r="C29" s="7">
        <v>2.0</v>
      </c>
      <c r="D29" s="8" t="s">
        <v>282</v>
      </c>
      <c r="E29" s="7" t="s">
        <v>283</v>
      </c>
      <c r="F29" s="8" t="s">
        <v>284</v>
      </c>
      <c r="G29" s="8" t="s">
        <v>360</v>
      </c>
      <c r="H29" s="7" t="s">
        <v>437</v>
      </c>
      <c r="I29" s="10" t="s">
        <v>439</v>
      </c>
      <c r="J29" s="7" t="s">
        <v>442</v>
      </c>
    </row>
    <row r="30" ht="15.75" customHeight="1">
      <c r="A30" s="7">
        <v>9.0</v>
      </c>
      <c r="B30" s="7" t="s">
        <v>63</v>
      </c>
      <c r="C30" s="7">
        <v>3.0</v>
      </c>
      <c r="D30" s="8" t="s">
        <v>425</v>
      </c>
      <c r="E30" s="7" t="s">
        <v>376</v>
      </c>
      <c r="F30" s="8" t="s">
        <v>426</v>
      </c>
      <c r="G30" s="8" t="s">
        <v>360</v>
      </c>
      <c r="H30" s="7" t="s">
        <v>362</v>
      </c>
      <c r="I30" s="10" t="s">
        <v>371</v>
      </c>
      <c r="J30" s="7" t="s">
        <v>41</v>
      </c>
    </row>
    <row r="31" ht="15.75" customHeight="1">
      <c r="A31" s="7">
        <v>10.0</v>
      </c>
      <c r="B31" s="7" t="s">
        <v>63</v>
      </c>
      <c r="C31" s="7">
        <v>3.0</v>
      </c>
      <c r="D31" s="8" t="s">
        <v>425</v>
      </c>
      <c r="E31" s="7" t="s">
        <v>376</v>
      </c>
      <c r="F31" s="8" t="s">
        <v>426</v>
      </c>
      <c r="G31" s="8" t="s">
        <v>360</v>
      </c>
      <c r="H31" s="7" t="s">
        <v>472</v>
      </c>
      <c r="I31" s="10" t="s">
        <v>474</v>
      </c>
      <c r="J31" s="7" t="s">
        <v>41</v>
      </c>
    </row>
    <row r="32" ht="15.75" customHeight="1">
      <c r="A32" s="7">
        <v>11.0</v>
      </c>
      <c r="B32" s="7" t="s">
        <v>63</v>
      </c>
      <c r="C32" s="7">
        <v>3.0</v>
      </c>
      <c r="D32" s="8" t="s">
        <v>425</v>
      </c>
      <c r="E32" s="7" t="s">
        <v>376</v>
      </c>
      <c r="F32" s="8" t="s">
        <v>426</v>
      </c>
      <c r="G32" s="8" t="s">
        <v>360</v>
      </c>
      <c r="H32" s="7" t="s">
        <v>480</v>
      </c>
      <c r="I32" s="10" t="s">
        <v>481</v>
      </c>
      <c r="J32" s="7" t="s">
        <v>41</v>
      </c>
    </row>
    <row r="33" ht="15.75" customHeight="1">
      <c r="A33" s="7">
        <v>12.0</v>
      </c>
      <c r="B33" s="7" t="s">
        <v>63</v>
      </c>
      <c r="C33" s="7">
        <v>3.0</v>
      </c>
      <c r="D33" s="8" t="s">
        <v>425</v>
      </c>
      <c r="E33" s="7" t="s">
        <v>376</v>
      </c>
      <c r="F33" s="8" t="s">
        <v>426</v>
      </c>
      <c r="G33" s="8" t="s">
        <v>360</v>
      </c>
      <c r="H33" s="7" t="s">
        <v>487</v>
      </c>
      <c r="I33" s="10" t="s">
        <v>489</v>
      </c>
      <c r="J33" s="7" t="s">
        <v>442</v>
      </c>
    </row>
    <row r="34" ht="15.75" customHeight="1">
      <c r="A34" s="7">
        <v>13.0</v>
      </c>
      <c r="B34" s="7" t="s">
        <v>63</v>
      </c>
      <c r="C34" s="7">
        <v>3.0</v>
      </c>
      <c r="D34" s="8" t="s">
        <v>425</v>
      </c>
      <c r="E34" s="7" t="s">
        <v>444</v>
      </c>
      <c r="F34" s="8" t="s">
        <v>445</v>
      </c>
      <c r="G34" s="8" t="s">
        <v>360</v>
      </c>
      <c r="H34" s="7" t="s">
        <v>448</v>
      </c>
      <c r="I34" s="10" t="s">
        <v>450</v>
      </c>
      <c r="J34" s="7" t="s">
        <v>442</v>
      </c>
    </row>
    <row r="35" ht="15.75" customHeight="1">
      <c r="A35" s="7">
        <v>14.0</v>
      </c>
      <c r="B35" s="7" t="s">
        <v>63</v>
      </c>
      <c r="C35" s="7">
        <v>3.0</v>
      </c>
      <c r="D35" s="8" t="s">
        <v>425</v>
      </c>
      <c r="E35" s="7" t="s">
        <v>453</v>
      </c>
      <c r="F35" s="8" t="s">
        <v>455</v>
      </c>
      <c r="G35" s="8" t="s">
        <v>360</v>
      </c>
      <c r="H35" s="7" t="s">
        <v>460</v>
      </c>
      <c r="I35" s="10" t="s">
        <v>497</v>
      </c>
      <c r="J35" s="7" t="s">
        <v>41</v>
      </c>
    </row>
    <row r="36" ht="15.75" customHeight="1">
      <c r="A36" s="7">
        <v>15.0</v>
      </c>
      <c r="B36" s="7" t="s">
        <v>63</v>
      </c>
      <c r="C36" s="7">
        <v>3.0</v>
      </c>
      <c r="D36" s="8" t="s">
        <v>425</v>
      </c>
      <c r="E36" s="7" t="s">
        <v>468</v>
      </c>
      <c r="F36" s="8" t="s">
        <v>469</v>
      </c>
      <c r="G36" s="8" t="s">
        <v>360</v>
      </c>
      <c r="H36" s="7" t="s">
        <v>473</v>
      </c>
      <c r="I36" s="10" t="s">
        <v>521</v>
      </c>
      <c r="J36" s="7" t="s">
        <v>41</v>
      </c>
    </row>
    <row r="37" ht="15.75" customHeight="1">
      <c r="A37" s="7">
        <v>16.0</v>
      </c>
      <c r="B37" s="7" t="s">
        <v>63</v>
      </c>
      <c r="C37" s="7">
        <v>4.0</v>
      </c>
      <c r="D37" s="8" t="s">
        <v>421</v>
      </c>
      <c r="E37" s="7" t="s">
        <v>482</v>
      </c>
      <c r="F37" s="8" t="s">
        <v>483</v>
      </c>
      <c r="G37" s="8" t="s">
        <v>361</v>
      </c>
      <c r="H37" s="7" t="s">
        <v>488</v>
      </c>
      <c r="I37" s="10" t="s">
        <v>586</v>
      </c>
      <c r="J37" s="7" t="s">
        <v>41</v>
      </c>
    </row>
    <row r="38" ht="15.75" customHeight="1">
      <c r="A38" s="7">
        <v>17.0</v>
      </c>
      <c r="B38" s="7" t="s">
        <v>63</v>
      </c>
      <c r="C38" s="7">
        <v>4.0</v>
      </c>
      <c r="D38" s="8" t="s">
        <v>421</v>
      </c>
      <c r="E38" s="7" t="s">
        <v>422</v>
      </c>
      <c r="F38" s="8" t="s">
        <v>492</v>
      </c>
      <c r="G38" s="8" t="s">
        <v>360</v>
      </c>
      <c r="H38" s="7" t="s">
        <v>413</v>
      </c>
      <c r="I38" s="10" t="s">
        <v>417</v>
      </c>
      <c r="J38" s="7" t="s">
        <v>41</v>
      </c>
    </row>
    <row r="39" ht="15.75" customHeight="1">
      <c r="A39" s="7">
        <v>18.0</v>
      </c>
      <c r="B39" s="7" t="s">
        <v>63</v>
      </c>
      <c r="C39" s="7">
        <v>4.0</v>
      </c>
      <c r="D39" s="8" t="s">
        <v>421</v>
      </c>
      <c r="E39" s="7" t="s">
        <v>422</v>
      </c>
      <c r="F39" s="8" t="s">
        <v>492</v>
      </c>
      <c r="G39" s="8" t="s">
        <v>361</v>
      </c>
      <c r="H39" s="7" t="s">
        <v>596</v>
      </c>
      <c r="I39" s="10" t="s">
        <v>597</v>
      </c>
      <c r="J39" s="7" t="s">
        <v>41</v>
      </c>
    </row>
    <row r="40" ht="15.75" customHeight="1">
      <c r="A40" s="7">
        <v>19.0</v>
      </c>
      <c r="B40" s="7" t="s">
        <v>63</v>
      </c>
      <c r="C40" s="7">
        <v>4.0</v>
      </c>
      <c r="D40" s="8" t="s">
        <v>421</v>
      </c>
      <c r="E40" s="7" t="s">
        <v>422</v>
      </c>
      <c r="F40" s="8" t="s">
        <v>492</v>
      </c>
      <c r="G40" s="8" t="s">
        <v>361</v>
      </c>
      <c r="H40" s="7" t="s">
        <v>605</v>
      </c>
      <c r="I40" s="10" t="s">
        <v>606</v>
      </c>
      <c r="J40" s="7" t="s">
        <v>41</v>
      </c>
    </row>
    <row r="41" ht="15.75" customHeight="1">
      <c r="A41" s="7">
        <v>20.0</v>
      </c>
      <c r="B41" s="7" t="s">
        <v>63</v>
      </c>
      <c r="C41" s="7">
        <v>5.0</v>
      </c>
      <c r="D41" s="8" t="s">
        <v>464</v>
      </c>
      <c r="E41" s="7" t="s">
        <v>504</v>
      </c>
      <c r="F41" s="8" t="s">
        <v>505</v>
      </c>
      <c r="G41" s="8" t="s">
        <v>361</v>
      </c>
      <c r="H41" s="7" t="s">
        <v>509</v>
      </c>
      <c r="I41" s="10" t="s">
        <v>635</v>
      </c>
      <c r="J41" s="7" t="s">
        <v>442</v>
      </c>
    </row>
    <row r="42" ht="15.75" customHeight="1">
      <c r="A42" s="7">
        <v>21.0</v>
      </c>
      <c r="B42" s="7" t="s">
        <v>63</v>
      </c>
      <c r="C42" s="7">
        <v>5.0</v>
      </c>
      <c r="D42" s="8" t="s">
        <v>464</v>
      </c>
      <c r="E42" s="7" t="s">
        <v>465</v>
      </c>
      <c r="F42" s="8" t="s">
        <v>510</v>
      </c>
      <c r="G42" s="8" t="s">
        <v>360</v>
      </c>
      <c r="H42" s="7" t="s">
        <v>459</v>
      </c>
      <c r="I42" s="10" t="s">
        <v>461</v>
      </c>
      <c r="J42" s="7" t="s">
        <v>442</v>
      </c>
    </row>
    <row r="43" ht="15.75" customHeight="1">
      <c r="A43" s="7">
        <v>22.0</v>
      </c>
      <c r="B43" s="7" t="s">
        <v>63</v>
      </c>
      <c r="C43" s="7">
        <v>5.0</v>
      </c>
      <c r="D43" s="8" t="s">
        <v>464</v>
      </c>
      <c r="E43" s="7" t="s">
        <v>519</v>
      </c>
      <c r="F43" s="8" t="s">
        <v>520</v>
      </c>
      <c r="G43" s="8" t="s">
        <v>363</v>
      </c>
      <c r="H43" s="7" t="s">
        <v>526</v>
      </c>
      <c r="I43" s="10" t="s">
        <v>734</v>
      </c>
      <c r="J43" s="7" t="s">
        <v>41</v>
      </c>
    </row>
    <row r="44" ht="15.75" customHeight="1">
      <c r="A44" s="7">
        <v>23.0</v>
      </c>
      <c r="B44" s="7" t="s">
        <v>63</v>
      </c>
      <c r="C44" s="7">
        <v>5.0</v>
      </c>
      <c r="D44" s="8" t="s">
        <v>464</v>
      </c>
      <c r="E44" s="7" t="s">
        <v>528</v>
      </c>
      <c r="F44" s="8" t="s">
        <v>529</v>
      </c>
      <c r="G44" s="8" t="s">
        <v>363</v>
      </c>
      <c r="H44" s="7" t="s">
        <v>740</v>
      </c>
      <c r="I44" s="10" t="s">
        <v>741</v>
      </c>
      <c r="J44" s="7" t="s">
        <v>41</v>
      </c>
    </row>
    <row r="45" ht="15.75" customHeight="1">
      <c r="A45" s="7">
        <v>24.0</v>
      </c>
      <c r="B45" s="7" t="s">
        <v>63</v>
      </c>
      <c r="C45" s="7">
        <v>5.0</v>
      </c>
      <c r="D45" s="8" t="s">
        <v>464</v>
      </c>
      <c r="E45" s="7" t="s">
        <v>528</v>
      </c>
      <c r="F45" s="8" t="s">
        <v>529</v>
      </c>
      <c r="G45" s="8" t="s">
        <v>361</v>
      </c>
      <c r="H45" s="7" t="s">
        <v>613</v>
      </c>
      <c r="I45" s="10" t="s">
        <v>617</v>
      </c>
      <c r="J45" s="7" t="s">
        <v>41</v>
      </c>
    </row>
    <row r="46" ht="15.75" customHeight="1">
      <c r="A46" s="7">
        <v>25.0</v>
      </c>
      <c r="B46" s="7" t="s">
        <v>63</v>
      </c>
      <c r="C46" s="7">
        <v>6.0</v>
      </c>
      <c r="D46" s="8" t="s">
        <v>538</v>
      </c>
      <c r="E46" s="7" t="s">
        <v>543</v>
      </c>
      <c r="F46" s="8" t="s">
        <v>547</v>
      </c>
      <c r="G46" s="8" t="s">
        <v>363</v>
      </c>
      <c r="H46" s="7" t="s">
        <v>714</v>
      </c>
      <c r="I46" s="10" t="s">
        <v>715</v>
      </c>
      <c r="J46" s="7" t="s">
        <v>41</v>
      </c>
    </row>
    <row r="47" ht="15.75" customHeight="1">
      <c r="A47" s="7">
        <v>26.0</v>
      </c>
      <c r="B47" s="7" t="s">
        <v>63</v>
      </c>
      <c r="C47" s="7">
        <v>6.0</v>
      </c>
      <c r="D47" s="8" t="s">
        <v>538</v>
      </c>
      <c r="E47" s="7" t="s">
        <v>543</v>
      </c>
      <c r="F47" s="8" t="s">
        <v>547</v>
      </c>
      <c r="G47" s="8" t="s">
        <v>361</v>
      </c>
      <c r="H47" s="7" t="s">
        <v>536</v>
      </c>
      <c r="I47" s="10" t="s">
        <v>537</v>
      </c>
      <c r="J47" s="7" t="s">
        <v>41</v>
      </c>
    </row>
    <row r="48" ht="15.75" customHeight="1">
      <c r="A48" s="7">
        <v>27.0</v>
      </c>
      <c r="B48" s="7" t="s">
        <v>63</v>
      </c>
      <c r="C48" s="7">
        <v>6.0</v>
      </c>
      <c r="D48" s="8" t="s">
        <v>538</v>
      </c>
      <c r="E48" s="7" t="s">
        <v>543</v>
      </c>
      <c r="F48" s="8" t="s">
        <v>547</v>
      </c>
      <c r="G48" s="8" t="s">
        <v>361</v>
      </c>
      <c r="H48" s="7" t="s">
        <v>546</v>
      </c>
      <c r="I48" s="10" t="s">
        <v>550</v>
      </c>
      <c r="J48" s="7" t="s">
        <v>41</v>
      </c>
    </row>
    <row r="49" ht="15.75" customHeight="1">
      <c r="A49" s="7">
        <v>28.0</v>
      </c>
      <c r="B49" s="7" t="s">
        <v>63</v>
      </c>
      <c r="C49" s="7">
        <v>6.0</v>
      </c>
      <c r="D49" s="8" t="s">
        <v>538</v>
      </c>
      <c r="E49" s="7" t="s">
        <v>543</v>
      </c>
      <c r="F49" s="8" t="s">
        <v>547</v>
      </c>
      <c r="G49" s="8" t="s">
        <v>361</v>
      </c>
      <c r="H49" s="7" t="s">
        <v>556</v>
      </c>
      <c r="I49" s="10" t="s">
        <v>558</v>
      </c>
      <c r="J49" s="7" t="s">
        <v>41</v>
      </c>
    </row>
    <row r="50" ht="15.75" customHeight="1">
      <c r="A50" s="7">
        <v>29.0</v>
      </c>
      <c r="B50" s="7" t="s">
        <v>63</v>
      </c>
      <c r="C50" s="7">
        <v>6.0</v>
      </c>
      <c r="D50" s="8" t="s">
        <v>538</v>
      </c>
      <c r="E50" s="7" t="s">
        <v>543</v>
      </c>
      <c r="F50" s="8" t="s">
        <v>547</v>
      </c>
      <c r="G50" s="8" t="s">
        <v>361</v>
      </c>
      <c r="H50" s="7" t="s">
        <v>573</v>
      </c>
      <c r="I50" s="10" t="s">
        <v>575</v>
      </c>
      <c r="J50" s="7" t="s">
        <v>41</v>
      </c>
    </row>
    <row r="51" ht="15.75" customHeight="1">
      <c r="A51" s="7">
        <v>30.0</v>
      </c>
      <c r="B51" s="7" t="s">
        <v>63</v>
      </c>
      <c r="C51" s="7">
        <v>6.0</v>
      </c>
      <c r="D51" s="8" t="s">
        <v>538</v>
      </c>
      <c r="E51" s="7" t="s">
        <v>543</v>
      </c>
      <c r="F51" s="8" t="s">
        <v>547</v>
      </c>
      <c r="G51" s="8" t="s">
        <v>361</v>
      </c>
      <c r="H51" s="7" t="s">
        <v>629</v>
      </c>
      <c r="I51" s="10" t="s">
        <v>630</v>
      </c>
      <c r="J51" s="7" t="s">
        <v>41</v>
      </c>
    </row>
    <row r="52" ht="15.75" customHeight="1">
      <c r="A52" s="7">
        <v>31.0</v>
      </c>
      <c r="B52" s="7" t="s">
        <v>63</v>
      </c>
      <c r="C52" s="7">
        <v>6.0</v>
      </c>
      <c r="D52" s="8" t="s">
        <v>538</v>
      </c>
      <c r="E52" s="7" t="s">
        <v>543</v>
      </c>
      <c r="F52" s="8" t="s">
        <v>547</v>
      </c>
      <c r="G52" s="8" t="s">
        <v>361</v>
      </c>
      <c r="H52" s="7" t="s">
        <v>643</v>
      </c>
      <c r="I52" s="10" t="s">
        <v>647</v>
      </c>
      <c r="J52" s="7" t="s">
        <v>41</v>
      </c>
    </row>
    <row r="53" ht="15.75" customHeight="1">
      <c r="A53" s="7">
        <v>32.0</v>
      </c>
      <c r="B53" s="7" t="s">
        <v>63</v>
      </c>
      <c r="C53" s="7">
        <v>6.0</v>
      </c>
      <c r="D53" s="8" t="s">
        <v>538</v>
      </c>
      <c r="E53" s="7" t="s">
        <v>553</v>
      </c>
      <c r="F53" s="8" t="s">
        <v>554</v>
      </c>
      <c r="G53" s="8" t="s">
        <v>361</v>
      </c>
      <c r="H53" s="7" t="s">
        <v>557</v>
      </c>
      <c r="I53" s="10" t="s">
        <v>656</v>
      </c>
      <c r="J53" s="7" t="s">
        <v>41</v>
      </c>
    </row>
    <row r="54" ht="15.75" customHeight="1">
      <c r="A54" s="7">
        <v>33.0</v>
      </c>
      <c r="B54" s="7" t="s">
        <v>63</v>
      </c>
      <c r="C54" s="7">
        <v>6.0</v>
      </c>
      <c r="D54" s="8" t="s">
        <v>538</v>
      </c>
      <c r="E54" s="7" t="s">
        <v>560</v>
      </c>
      <c r="F54" s="8" t="s">
        <v>561</v>
      </c>
      <c r="G54" s="8" t="s">
        <v>363</v>
      </c>
      <c r="H54" s="7" t="s">
        <v>564</v>
      </c>
      <c r="I54" s="10" t="s">
        <v>749</v>
      </c>
      <c r="J54" s="7" t="s">
        <v>41</v>
      </c>
    </row>
    <row r="55" ht="15.75" customHeight="1">
      <c r="A55" s="7">
        <v>34.0</v>
      </c>
      <c r="B55" s="7" t="s">
        <v>63</v>
      </c>
      <c r="C55" s="7">
        <v>7.0</v>
      </c>
      <c r="D55" s="8" t="s">
        <v>568</v>
      </c>
      <c r="E55" s="7" t="s">
        <v>574</v>
      </c>
      <c r="F55" s="8" t="s">
        <v>576</v>
      </c>
      <c r="G55" s="8" t="s">
        <v>361</v>
      </c>
      <c r="H55" s="7" t="s">
        <v>581</v>
      </c>
      <c r="I55" s="10" t="s">
        <v>665</v>
      </c>
      <c r="J55" s="7" t="s">
        <v>442</v>
      </c>
    </row>
    <row r="56" ht="15.75" customHeight="1">
      <c r="A56" s="7">
        <v>35.0</v>
      </c>
      <c r="B56" s="7" t="s">
        <v>63</v>
      </c>
      <c r="C56" s="7">
        <v>8.0</v>
      </c>
      <c r="D56" s="8" t="s">
        <v>589</v>
      </c>
      <c r="E56" s="7" t="s">
        <v>599</v>
      </c>
      <c r="F56" s="8" t="s">
        <v>601</v>
      </c>
      <c r="G56" s="8" t="s">
        <v>363</v>
      </c>
      <c r="H56" s="7" t="s">
        <v>753</v>
      </c>
      <c r="I56" s="10" t="s">
        <v>755</v>
      </c>
      <c r="J56" s="7" t="s">
        <v>41</v>
      </c>
    </row>
    <row r="57" ht="15.75" customHeight="1">
      <c r="A57" s="7">
        <v>36.0</v>
      </c>
      <c r="B57" s="7" t="s">
        <v>63</v>
      </c>
      <c r="C57" s="7">
        <v>8.0</v>
      </c>
      <c r="D57" s="8" t="s">
        <v>589</v>
      </c>
      <c r="E57" s="7" t="s">
        <v>599</v>
      </c>
      <c r="F57" s="8" t="s">
        <v>601</v>
      </c>
      <c r="G57" s="8" t="s">
        <v>361</v>
      </c>
      <c r="H57" s="7" t="s">
        <v>674</v>
      </c>
      <c r="I57" s="10" t="s">
        <v>675</v>
      </c>
      <c r="J57" s="7" t="s">
        <v>41</v>
      </c>
    </row>
    <row r="58" ht="15.75" customHeight="1">
      <c r="A58" s="7">
        <v>37.0</v>
      </c>
      <c r="B58" s="7" t="s">
        <v>63</v>
      </c>
      <c r="C58" s="7">
        <v>9.0</v>
      </c>
      <c r="D58" s="8" t="s">
        <v>607</v>
      </c>
      <c r="E58" s="7" t="s">
        <v>609</v>
      </c>
      <c r="F58" s="8" t="s">
        <v>366</v>
      </c>
      <c r="G58" s="8" t="s">
        <v>363</v>
      </c>
      <c r="H58" s="7" t="s">
        <v>758</v>
      </c>
      <c r="I58" s="10" t="s">
        <v>759</v>
      </c>
      <c r="J58" s="7" t="s">
        <v>41</v>
      </c>
    </row>
    <row r="59" ht="15.75" customHeight="1">
      <c r="A59" s="7">
        <v>38.0</v>
      </c>
      <c r="B59" s="7" t="s">
        <v>63</v>
      </c>
      <c r="C59" s="7">
        <v>9.0</v>
      </c>
      <c r="D59" s="8" t="s">
        <v>607</v>
      </c>
      <c r="E59" s="7" t="s">
        <v>609</v>
      </c>
      <c r="F59" s="8" t="s">
        <v>366</v>
      </c>
      <c r="G59" s="8" t="s">
        <v>363</v>
      </c>
      <c r="H59" s="7" t="s">
        <v>762</v>
      </c>
      <c r="I59" s="10" t="s">
        <v>763</v>
      </c>
      <c r="J59" s="7" t="s">
        <v>41</v>
      </c>
    </row>
    <row r="60" ht="15.75" customHeight="1">
      <c r="A60" s="7">
        <v>39.0</v>
      </c>
      <c r="B60" s="7" t="s">
        <v>63</v>
      </c>
      <c r="C60" s="7">
        <v>9.0</v>
      </c>
      <c r="D60" s="8" t="s">
        <v>607</v>
      </c>
      <c r="E60" s="7" t="s">
        <v>609</v>
      </c>
      <c r="F60" s="8" t="s">
        <v>366</v>
      </c>
      <c r="G60" s="8" t="s">
        <v>361</v>
      </c>
      <c r="H60" s="7" t="s">
        <v>685</v>
      </c>
      <c r="I60" s="10" t="s">
        <v>689</v>
      </c>
      <c r="J60" s="7" t="s">
        <v>41</v>
      </c>
    </row>
    <row r="61" ht="15.75" customHeight="1">
      <c r="A61" s="7">
        <v>40.0</v>
      </c>
      <c r="B61" s="7" t="s">
        <v>63</v>
      </c>
      <c r="C61" s="7">
        <v>9.0</v>
      </c>
      <c r="D61" s="8" t="s">
        <v>607</v>
      </c>
      <c r="E61" s="7" t="s">
        <v>609</v>
      </c>
      <c r="F61" s="8" t="s">
        <v>366</v>
      </c>
      <c r="G61" s="8" t="s">
        <v>366</v>
      </c>
      <c r="H61" s="7" t="s">
        <v>929</v>
      </c>
      <c r="I61" s="10" t="s">
        <v>931</v>
      </c>
      <c r="J61" s="7" t="s">
        <v>41</v>
      </c>
    </row>
    <row r="62" ht="15.75" customHeight="1">
      <c r="A62" s="7">
        <v>41.0</v>
      </c>
      <c r="B62" s="7" t="s">
        <v>63</v>
      </c>
      <c r="C62" s="7">
        <v>9.0</v>
      </c>
      <c r="D62" s="8" t="s">
        <v>607</v>
      </c>
      <c r="E62" s="7" t="s">
        <v>609</v>
      </c>
      <c r="F62" s="8" t="s">
        <v>366</v>
      </c>
      <c r="G62" s="8" t="s">
        <v>366</v>
      </c>
      <c r="H62" s="7" t="s">
        <v>934</v>
      </c>
      <c r="I62" s="10" t="s">
        <v>935</v>
      </c>
      <c r="J62" s="7" t="s">
        <v>41</v>
      </c>
    </row>
    <row r="63" ht="15.75" customHeight="1">
      <c r="A63" s="7">
        <v>42.0</v>
      </c>
      <c r="B63" s="7" t="s">
        <v>63</v>
      </c>
      <c r="C63" s="7">
        <v>9.0</v>
      </c>
      <c r="D63" s="8" t="s">
        <v>607</v>
      </c>
      <c r="E63" s="7" t="s">
        <v>609</v>
      </c>
      <c r="F63" s="8" t="s">
        <v>366</v>
      </c>
      <c r="G63" s="8" t="s">
        <v>366</v>
      </c>
      <c r="H63" s="7" t="s">
        <v>936</v>
      </c>
      <c r="I63" s="10" t="s">
        <v>937</v>
      </c>
      <c r="J63" s="7" t="s">
        <v>41</v>
      </c>
    </row>
    <row r="64" ht="15.75" customHeight="1">
      <c r="A64" s="7">
        <v>43.0</v>
      </c>
      <c r="B64" s="7" t="s">
        <v>63</v>
      </c>
      <c r="C64" s="7">
        <v>9.0</v>
      </c>
      <c r="D64" s="8" t="s">
        <v>607</v>
      </c>
      <c r="E64" s="7" t="s">
        <v>609</v>
      </c>
      <c r="F64" s="8" t="s">
        <v>366</v>
      </c>
      <c r="G64" s="8" t="s">
        <v>366</v>
      </c>
      <c r="H64" s="7" t="s">
        <v>941</v>
      </c>
      <c r="I64" s="10" t="s">
        <v>943</v>
      </c>
      <c r="J64" s="7" t="s">
        <v>41</v>
      </c>
    </row>
    <row r="65" ht="15.75" customHeight="1">
      <c r="A65" s="7">
        <v>44.0</v>
      </c>
      <c r="B65" s="7" t="s">
        <v>63</v>
      </c>
      <c r="C65" s="7">
        <v>9.0</v>
      </c>
      <c r="D65" s="8" t="s">
        <v>607</v>
      </c>
      <c r="E65" s="7" t="s">
        <v>609</v>
      </c>
      <c r="F65" s="8" t="s">
        <v>366</v>
      </c>
      <c r="G65" s="8" t="s">
        <v>366</v>
      </c>
      <c r="H65" s="7" t="s">
        <v>946</v>
      </c>
      <c r="I65" s="10" t="s">
        <v>947</v>
      </c>
      <c r="J65" s="7" t="s">
        <v>41</v>
      </c>
    </row>
    <row r="66" ht="15.75" customHeight="1">
      <c r="A66" s="7">
        <v>45.0</v>
      </c>
      <c r="B66" s="7" t="s">
        <v>63</v>
      </c>
      <c r="C66" s="7">
        <v>9.0</v>
      </c>
      <c r="D66" s="8" t="s">
        <v>607</v>
      </c>
      <c r="E66" s="7" t="s">
        <v>609</v>
      </c>
      <c r="F66" s="8" t="s">
        <v>366</v>
      </c>
      <c r="G66" s="8" t="s">
        <v>366</v>
      </c>
      <c r="H66" s="7" t="s">
        <v>950</v>
      </c>
      <c r="I66" s="10" t="s">
        <v>951</v>
      </c>
      <c r="J66" s="7" t="s">
        <v>41</v>
      </c>
    </row>
    <row r="67" ht="15.75" customHeight="1">
      <c r="A67" s="7">
        <v>46.0</v>
      </c>
      <c r="B67" s="7" t="s">
        <v>63</v>
      </c>
      <c r="C67" s="7">
        <v>9.0</v>
      </c>
      <c r="D67" s="8" t="s">
        <v>607</v>
      </c>
      <c r="E67" s="7" t="s">
        <v>609</v>
      </c>
      <c r="F67" s="8" t="s">
        <v>366</v>
      </c>
      <c r="G67" s="8" t="s">
        <v>366</v>
      </c>
      <c r="H67" s="7" t="s">
        <v>954</v>
      </c>
      <c r="I67" s="10" t="s">
        <v>955</v>
      </c>
      <c r="J67" s="7" t="s">
        <v>41</v>
      </c>
    </row>
    <row r="68" ht="15.75" customHeight="1">
      <c r="A68" s="7">
        <v>47.0</v>
      </c>
      <c r="B68" s="7" t="s">
        <v>63</v>
      </c>
      <c r="C68" s="7">
        <v>9.0</v>
      </c>
      <c r="D68" s="8" t="s">
        <v>607</v>
      </c>
      <c r="E68" s="7" t="s">
        <v>609</v>
      </c>
      <c r="F68" s="8" t="s">
        <v>366</v>
      </c>
      <c r="G68" s="8" t="s">
        <v>366</v>
      </c>
      <c r="H68" s="7" t="s">
        <v>958</v>
      </c>
      <c r="I68" s="10" t="s">
        <v>959</v>
      </c>
      <c r="J68" s="7" t="s">
        <v>41</v>
      </c>
    </row>
    <row r="69" ht="15.75" customHeight="1">
      <c r="A69" s="7">
        <v>48.0</v>
      </c>
      <c r="B69" s="7" t="s">
        <v>63</v>
      </c>
      <c r="C69" s="7">
        <v>9.0</v>
      </c>
      <c r="D69" s="8" t="s">
        <v>607</v>
      </c>
      <c r="E69" s="7" t="s">
        <v>609</v>
      </c>
      <c r="F69" s="8" t="s">
        <v>366</v>
      </c>
      <c r="G69" s="8" t="s">
        <v>366</v>
      </c>
      <c r="H69" s="7" t="s">
        <v>962</v>
      </c>
      <c r="I69" s="10" t="s">
        <v>611</v>
      </c>
      <c r="J69" s="7" t="s">
        <v>41</v>
      </c>
    </row>
    <row r="70" ht="15.75" customHeight="1">
      <c r="A70" s="7">
        <v>49.0</v>
      </c>
      <c r="B70" s="7" t="s">
        <v>63</v>
      </c>
      <c r="C70" s="7">
        <v>9.0</v>
      </c>
      <c r="D70" s="8" t="s">
        <v>607</v>
      </c>
      <c r="E70" s="7" t="s">
        <v>609</v>
      </c>
      <c r="F70" s="8" t="s">
        <v>366</v>
      </c>
      <c r="G70" s="8" t="s">
        <v>366</v>
      </c>
      <c r="H70" s="7" t="s">
        <v>967</v>
      </c>
      <c r="I70" s="10" t="s">
        <v>968</v>
      </c>
      <c r="J70" s="7" t="s">
        <v>41</v>
      </c>
    </row>
    <row r="71" ht="15.75" customHeight="1">
      <c r="A71" s="7">
        <v>50.0</v>
      </c>
      <c r="B71" s="7" t="s">
        <v>63</v>
      </c>
      <c r="C71" s="7">
        <v>9.0</v>
      </c>
      <c r="D71" s="8" t="s">
        <v>607</v>
      </c>
      <c r="E71" s="7" t="s">
        <v>614</v>
      </c>
      <c r="F71" s="8" t="s">
        <v>615</v>
      </c>
      <c r="G71" s="8" t="s">
        <v>363</v>
      </c>
      <c r="H71" s="7" t="s">
        <v>751</v>
      </c>
      <c r="I71" s="10" t="s">
        <v>752</v>
      </c>
      <c r="J71" s="7" t="s">
        <v>41</v>
      </c>
    </row>
    <row r="72" ht="15.75" customHeight="1">
      <c r="A72" s="7">
        <v>51.0</v>
      </c>
      <c r="B72" s="7" t="s">
        <v>63</v>
      </c>
      <c r="C72" s="7">
        <v>9.0</v>
      </c>
      <c r="D72" s="8" t="s">
        <v>607</v>
      </c>
      <c r="E72" s="7" t="s">
        <v>614</v>
      </c>
      <c r="F72" s="8" t="s">
        <v>615</v>
      </c>
      <c r="G72" s="8" t="s">
        <v>361</v>
      </c>
      <c r="H72" s="7" t="s">
        <v>701</v>
      </c>
      <c r="I72" s="10" t="s">
        <v>703</v>
      </c>
      <c r="J72" s="7" t="s">
        <v>41</v>
      </c>
    </row>
    <row r="73" ht="15.75" customHeight="1">
      <c r="A73" s="7">
        <v>52.0</v>
      </c>
      <c r="B73" s="7" t="s">
        <v>63</v>
      </c>
      <c r="C73" s="7">
        <v>9.0</v>
      </c>
      <c r="D73" s="8" t="s">
        <v>607</v>
      </c>
      <c r="E73" s="7" t="s">
        <v>624</v>
      </c>
      <c r="F73" s="8" t="s">
        <v>625</v>
      </c>
      <c r="G73" s="8" t="s">
        <v>363</v>
      </c>
      <c r="H73" s="7" t="s">
        <v>628</v>
      </c>
      <c r="I73" s="10" t="s">
        <v>764</v>
      </c>
      <c r="J73" s="7" t="s">
        <v>41</v>
      </c>
    </row>
    <row r="74" ht="15.75" customHeight="1">
      <c r="A74" s="7">
        <v>53.0</v>
      </c>
      <c r="B74" s="7" t="s">
        <v>63</v>
      </c>
      <c r="C74" s="7">
        <v>10.0</v>
      </c>
      <c r="D74" s="8" t="s">
        <v>631</v>
      </c>
      <c r="E74" s="7" t="s">
        <v>667</v>
      </c>
      <c r="F74" s="8" t="s">
        <v>668</v>
      </c>
      <c r="G74" s="8" t="s">
        <v>363</v>
      </c>
      <c r="H74" s="7" t="s">
        <v>673</v>
      </c>
      <c r="I74" s="10" t="s">
        <v>775</v>
      </c>
      <c r="J74" s="7" t="s">
        <v>41</v>
      </c>
    </row>
    <row r="75" ht="15.75" customHeight="1">
      <c r="A75" s="7">
        <v>54.0</v>
      </c>
      <c r="B75" s="7" t="s">
        <v>63</v>
      </c>
      <c r="C75" s="7">
        <v>11.0</v>
      </c>
      <c r="D75" s="8" t="s">
        <v>676</v>
      </c>
      <c r="E75" s="7" t="s">
        <v>677</v>
      </c>
      <c r="F75" s="8" t="s">
        <v>678</v>
      </c>
      <c r="G75" s="8" t="s">
        <v>363</v>
      </c>
      <c r="H75" s="7" t="s">
        <v>789</v>
      </c>
      <c r="I75" s="10" t="s">
        <v>790</v>
      </c>
      <c r="J75" s="7" t="s">
        <v>41</v>
      </c>
    </row>
    <row r="76" ht="15.75" customHeight="1">
      <c r="A76" s="7">
        <v>55.0</v>
      </c>
      <c r="B76" s="7" t="s">
        <v>63</v>
      </c>
      <c r="C76" s="7">
        <v>11.0</v>
      </c>
      <c r="D76" s="8" t="s">
        <v>676</v>
      </c>
      <c r="E76" s="7" t="s">
        <v>677</v>
      </c>
      <c r="F76" s="8" t="s">
        <v>678</v>
      </c>
      <c r="G76" s="8" t="s">
        <v>368</v>
      </c>
      <c r="H76" s="7" t="s">
        <v>1050</v>
      </c>
      <c r="I76" s="10" t="s">
        <v>844</v>
      </c>
      <c r="J76" s="7" t="s">
        <v>41</v>
      </c>
    </row>
    <row r="77" ht="15.75" customHeight="1">
      <c r="A77" s="7">
        <v>56.0</v>
      </c>
      <c r="B77" s="7" t="s">
        <v>63</v>
      </c>
      <c r="C77" s="7">
        <v>12.0</v>
      </c>
      <c r="D77" s="8" t="s">
        <v>367</v>
      </c>
      <c r="E77" s="7" t="s">
        <v>696</v>
      </c>
      <c r="F77" s="8" t="s">
        <v>697</v>
      </c>
      <c r="G77" s="8" t="s">
        <v>367</v>
      </c>
      <c r="H77" s="7" t="s">
        <v>702</v>
      </c>
      <c r="I77" s="10" t="s">
        <v>974</v>
      </c>
      <c r="J77" s="7" t="s">
        <v>41</v>
      </c>
    </row>
    <row r="78" ht="15.75" customHeight="1">
      <c r="A78" s="7">
        <v>57.0</v>
      </c>
      <c r="B78" s="7" t="s">
        <v>63</v>
      </c>
      <c r="C78" s="7">
        <v>12.0</v>
      </c>
      <c r="D78" s="8" t="s">
        <v>367</v>
      </c>
      <c r="E78" s="7" t="s">
        <v>706</v>
      </c>
      <c r="F78" s="8" t="s">
        <v>707</v>
      </c>
      <c r="G78" s="8" t="s">
        <v>367</v>
      </c>
      <c r="H78" s="7" t="s">
        <v>977</v>
      </c>
      <c r="I78" s="10" t="s">
        <v>978</v>
      </c>
      <c r="J78" s="7" t="s">
        <v>41</v>
      </c>
    </row>
    <row r="79" ht="15.75" customHeight="1">
      <c r="A79" s="7">
        <v>58.0</v>
      </c>
      <c r="B79" s="7" t="s">
        <v>63</v>
      </c>
      <c r="C79" s="7">
        <v>12.0</v>
      </c>
      <c r="D79" s="8" t="s">
        <v>367</v>
      </c>
      <c r="E79" s="7" t="s">
        <v>706</v>
      </c>
      <c r="F79" s="8" t="s">
        <v>707</v>
      </c>
      <c r="G79" s="8" t="s">
        <v>367</v>
      </c>
      <c r="H79" s="7" t="s">
        <v>984</v>
      </c>
      <c r="I79" s="10" t="s">
        <v>985</v>
      </c>
      <c r="J79" s="7" t="s">
        <v>442</v>
      </c>
    </row>
    <row r="80" ht="15.75" customHeight="1">
      <c r="A80" s="7">
        <v>59.0</v>
      </c>
      <c r="B80" s="7" t="s">
        <v>63</v>
      </c>
      <c r="C80" s="7">
        <v>12.0</v>
      </c>
      <c r="D80" s="8" t="s">
        <v>367</v>
      </c>
      <c r="E80" s="7" t="s">
        <v>706</v>
      </c>
      <c r="F80" s="8" t="s">
        <v>707</v>
      </c>
      <c r="G80" s="8" t="s">
        <v>367</v>
      </c>
      <c r="H80" s="7" t="s">
        <v>989</v>
      </c>
      <c r="I80" s="10" t="s">
        <v>990</v>
      </c>
      <c r="J80" s="7" t="s">
        <v>41</v>
      </c>
    </row>
    <row r="81" ht="15.75" customHeight="1">
      <c r="A81" s="7">
        <v>60.0</v>
      </c>
      <c r="B81" s="7" t="s">
        <v>63</v>
      </c>
      <c r="C81" s="7">
        <v>12.0</v>
      </c>
      <c r="D81" s="8" t="s">
        <v>367</v>
      </c>
      <c r="E81" s="7" t="s">
        <v>706</v>
      </c>
      <c r="F81" s="8" t="s">
        <v>707</v>
      </c>
      <c r="G81" s="8" t="s">
        <v>367</v>
      </c>
      <c r="H81" s="7" t="s">
        <v>992</v>
      </c>
      <c r="I81" s="10" t="s">
        <v>993</v>
      </c>
      <c r="J81" s="7" t="s">
        <v>41</v>
      </c>
    </row>
    <row r="82" ht="15.75" customHeight="1">
      <c r="A82" s="7">
        <v>61.0</v>
      </c>
      <c r="B82" s="7" t="s">
        <v>63</v>
      </c>
      <c r="C82" s="7">
        <v>12.0</v>
      </c>
      <c r="D82" s="8" t="s">
        <v>367</v>
      </c>
      <c r="E82" s="7" t="s">
        <v>706</v>
      </c>
      <c r="F82" s="8" t="s">
        <v>707</v>
      </c>
      <c r="G82" s="8" t="s">
        <v>367</v>
      </c>
      <c r="H82" s="7" t="s">
        <v>1000</v>
      </c>
      <c r="I82" s="10" t="s">
        <v>1001</v>
      </c>
      <c r="J82" s="7" t="s">
        <v>41</v>
      </c>
    </row>
    <row r="83" ht="15.75" customHeight="1">
      <c r="A83" s="7">
        <v>62.0</v>
      </c>
      <c r="B83" s="7" t="s">
        <v>63</v>
      </c>
      <c r="C83" s="7">
        <v>12.0</v>
      </c>
      <c r="D83" s="8" t="s">
        <v>367</v>
      </c>
      <c r="E83" s="7" t="s">
        <v>706</v>
      </c>
      <c r="F83" s="8" t="s">
        <v>707</v>
      </c>
      <c r="G83" s="8" t="s">
        <v>367</v>
      </c>
      <c r="H83" s="7" t="s">
        <v>1005</v>
      </c>
      <c r="I83" s="10" t="s">
        <v>1006</v>
      </c>
      <c r="J83" s="7" t="s">
        <v>442</v>
      </c>
    </row>
    <row r="84" ht="15.75" customHeight="1">
      <c r="A84" s="7">
        <v>63.0</v>
      </c>
      <c r="B84" s="7" t="s">
        <v>63</v>
      </c>
      <c r="C84" s="7">
        <v>12.0</v>
      </c>
      <c r="D84" s="8" t="s">
        <v>367</v>
      </c>
      <c r="E84" s="7" t="s">
        <v>706</v>
      </c>
      <c r="F84" s="8" t="s">
        <v>707</v>
      </c>
      <c r="G84" s="8" t="s">
        <v>367</v>
      </c>
      <c r="H84" s="7" t="s">
        <v>1012</v>
      </c>
      <c r="I84" s="10" t="s">
        <v>1013</v>
      </c>
      <c r="J84" s="7" t="s">
        <v>41</v>
      </c>
    </row>
    <row r="85" ht="15.75" customHeight="1">
      <c r="A85" s="7">
        <v>64.0</v>
      </c>
      <c r="B85" s="7" t="s">
        <v>63</v>
      </c>
      <c r="C85" s="7">
        <v>12.0</v>
      </c>
      <c r="D85" s="8" t="s">
        <v>367</v>
      </c>
      <c r="E85" s="7" t="s">
        <v>706</v>
      </c>
      <c r="F85" s="8" t="s">
        <v>707</v>
      </c>
      <c r="G85" s="8" t="s">
        <v>367</v>
      </c>
      <c r="H85" s="7" t="s">
        <v>1016</v>
      </c>
      <c r="I85" s="10" t="s">
        <v>1017</v>
      </c>
      <c r="J85" s="7" t="s">
        <v>41</v>
      </c>
    </row>
    <row r="86" ht="15.75" customHeight="1">
      <c r="A86" s="7">
        <v>65.0</v>
      </c>
      <c r="B86" s="7" t="s">
        <v>63</v>
      </c>
      <c r="C86" s="7">
        <v>12.0</v>
      </c>
      <c r="D86" s="8" t="s">
        <v>367</v>
      </c>
      <c r="E86" s="7" t="s">
        <v>706</v>
      </c>
      <c r="F86" s="8" t="s">
        <v>707</v>
      </c>
      <c r="G86" s="8" t="s">
        <v>367</v>
      </c>
      <c r="H86" s="7" t="s">
        <v>1021</v>
      </c>
      <c r="I86" s="10" t="s">
        <v>1023</v>
      </c>
      <c r="J86" s="7" t="s">
        <v>41</v>
      </c>
    </row>
    <row r="87" ht="15.75" customHeight="1">
      <c r="A87" s="7">
        <v>66.0</v>
      </c>
      <c r="B87" s="7" t="s">
        <v>63</v>
      </c>
      <c r="C87" s="7">
        <v>12.0</v>
      </c>
      <c r="D87" s="8" t="s">
        <v>367</v>
      </c>
      <c r="E87" s="7" t="s">
        <v>706</v>
      </c>
      <c r="F87" s="8" t="s">
        <v>707</v>
      </c>
      <c r="G87" s="8" t="s">
        <v>367</v>
      </c>
      <c r="H87" s="7" t="s">
        <v>1026</v>
      </c>
      <c r="I87" s="10" t="s">
        <v>1027</v>
      </c>
      <c r="J87" s="7" t="s">
        <v>41</v>
      </c>
    </row>
    <row r="88" ht="15.75" customHeight="1">
      <c r="A88" s="7">
        <v>67.0</v>
      </c>
      <c r="B88" s="7" t="s">
        <v>63</v>
      </c>
      <c r="C88" s="7">
        <v>12.0</v>
      </c>
      <c r="D88" s="8" t="s">
        <v>367</v>
      </c>
      <c r="E88" s="7" t="s">
        <v>706</v>
      </c>
      <c r="F88" s="8" t="s">
        <v>707</v>
      </c>
      <c r="G88" s="8" t="s">
        <v>367</v>
      </c>
      <c r="H88" s="7" t="s">
        <v>1030</v>
      </c>
      <c r="I88" s="10" t="s">
        <v>1032</v>
      </c>
      <c r="J88" s="7" t="s">
        <v>41</v>
      </c>
    </row>
    <row r="89" ht="15.75" customHeight="1">
      <c r="A89" s="7">
        <v>68.0</v>
      </c>
      <c r="B89" s="7" t="s">
        <v>63</v>
      </c>
      <c r="C89" s="7">
        <v>12.0</v>
      </c>
      <c r="D89" s="8" t="s">
        <v>367</v>
      </c>
      <c r="E89" s="7" t="s">
        <v>706</v>
      </c>
      <c r="F89" s="8" t="s">
        <v>707</v>
      </c>
      <c r="G89" s="8" t="s">
        <v>367</v>
      </c>
      <c r="H89" s="7" t="s">
        <v>1034</v>
      </c>
      <c r="I89" s="10" t="s">
        <v>1035</v>
      </c>
      <c r="J89" s="7" t="s">
        <v>41</v>
      </c>
    </row>
    <row r="90" ht="15.75" customHeight="1">
      <c r="A90" s="7">
        <v>69.0</v>
      </c>
      <c r="B90" s="7" t="s">
        <v>63</v>
      </c>
      <c r="C90" s="7">
        <v>12.0</v>
      </c>
      <c r="D90" s="8" t="s">
        <v>367</v>
      </c>
      <c r="E90" s="7" t="s">
        <v>706</v>
      </c>
      <c r="F90" s="8" t="s">
        <v>707</v>
      </c>
      <c r="G90" s="8" t="s">
        <v>367</v>
      </c>
      <c r="H90" s="7" t="s">
        <v>1039</v>
      </c>
      <c r="I90" s="10" t="s">
        <v>1040</v>
      </c>
      <c r="J90" s="7" t="s">
        <v>41</v>
      </c>
    </row>
    <row r="91" ht="15.75" customHeight="1">
      <c r="A91" s="7">
        <v>70.0</v>
      </c>
      <c r="B91" s="7" t="s">
        <v>63</v>
      </c>
      <c r="C91" s="7">
        <v>12.0</v>
      </c>
      <c r="D91" s="8" t="s">
        <v>367</v>
      </c>
      <c r="E91" s="7" t="s">
        <v>706</v>
      </c>
      <c r="F91" s="8" t="s">
        <v>707</v>
      </c>
      <c r="G91" s="8" t="s">
        <v>367</v>
      </c>
      <c r="H91" s="7" t="s">
        <v>1045</v>
      </c>
      <c r="I91" s="10" t="s">
        <v>1046</v>
      </c>
      <c r="J91" s="7" t="s">
        <v>41</v>
      </c>
    </row>
    <row r="92" ht="15.75" customHeight="1">
      <c r="A92" s="7">
        <v>71.0</v>
      </c>
      <c r="B92" s="7" t="s">
        <v>63</v>
      </c>
      <c r="C92" s="7">
        <v>12.0</v>
      </c>
      <c r="D92" s="8" t="s">
        <v>367</v>
      </c>
      <c r="E92" s="7" t="s">
        <v>706</v>
      </c>
      <c r="F92" s="8" t="s">
        <v>707</v>
      </c>
      <c r="G92" s="8" t="s">
        <v>368</v>
      </c>
      <c r="H92" s="7" t="s">
        <v>1061</v>
      </c>
      <c r="I92" s="10" t="s">
        <v>1063</v>
      </c>
      <c r="J92" s="7" t="s">
        <v>442</v>
      </c>
    </row>
    <row r="93" ht="15.75" customHeight="1">
      <c r="A93" s="7">
        <v>72.0</v>
      </c>
      <c r="B93" s="7" t="s">
        <v>63</v>
      </c>
      <c r="C93" s="7">
        <v>13.0</v>
      </c>
      <c r="D93" s="8" t="s">
        <v>717</v>
      </c>
      <c r="E93" s="7" t="s">
        <v>718</v>
      </c>
      <c r="F93" s="8" t="s">
        <v>720</v>
      </c>
      <c r="G93" s="8" t="s">
        <v>368</v>
      </c>
      <c r="H93" s="7" t="s">
        <v>723</v>
      </c>
      <c r="I93" s="10" t="s">
        <v>1072</v>
      </c>
      <c r="J93" s="7" t="s">
        <v>41</v>
      </c>
    </row>
    <row r="94" ht="15.75" customHeight="1">
      <c r="A94" s="7">
        <v>73.0</v>
      </c>
      <c r="B94" s="7" t="s">
        <v>63</v>
      </c>
      <c r="C94" s="7">
        <v>13.0</v>
      </c>
      <c r="D94" s="8" t="s">
        <v>717</v>
      </c>
      <c r="E94" s="7" t="s">
        <v>725</v>
      </c>
      <c r="F94" s="8" t="s">
        <v>726</v>
      </c>
      <c r="G94" s="8" t="s">
        <v>368</v>
      </c>
      <c r="H94" s="7" t="s">
        <v>1052</v>
      </c>
      <c r="I94" s="10" t="s">
        <v>1053</v>
      </c>
      <c r="J94" s="7" t="s">
        <v>41</v>
      </c>
    </row>
    <row r="95" ht="15.75" customHeight="1">
      <c r="A95" s="7">
        <v>74.0</v>
      </c>
      <c r="B95" s="7" t="s">
        <v>63</v>
      </c>
      <c r="C95" s="7">
        <v>13.0</v>
      </c>
      <c r="D95" s="8" t="s">
        <v>717</v>
      </c>
      <c r="E95" s="7" t="s">
        <v>725</v>
      </c>
      <c r="F95" s="8" t="s">
        <v>726</v>
      </c>
      <c r="G95" s="8" t="s">
        <v>368</v>
      </c>
      <c r="H95" s="7" t="s">
        <v>1067</v>
      </c>
      <c r="I95" s="10" t="s">
        <v>1069</v>
      </c>
      <c r="J95" s="7" t="s">
        <v>41</v>
      </c>
    </row>
    <row r="96" ht="15.75" customHeight="1">
      <c r="A96" s="7">
        <v>75.0</v>
      </c>
      <c r="B96" s="7" t="s">
        <v>63</v>
      </c>
      <c r="C96" s="7">
        <v>13.0</v>
      </c>
      <c r="D96" s="8" t="s">
        <v>717</v>
      </c>
      <c r="E96" s="7" t="s">
        <v>725</v>
      </c>
      <c r="F96" s="8" t="s">
        <v>726</v>
      </c>
      <c r="G96" s="8" t="s">
        <v>368</v>
      </c>
      <c r="H96" s="7" t="s">
        <v>1074</v>
      </c>
      <c r="I96" s="10" t="s">
        <v>1075</v>
      </c>
      <c r="J96" s="7" t="s">
        <v>41</v>
      </c>
    </row>
    <row r="97" ht="15.75" customHeight="1">
      <c r="A97" s="7">
        <v>76.0</v>
      </c>
      <c r="B97" s="7" t="s">
        <v>63</v>
      </c>
      <c r="C97" s="7">
        <v>13.0</v>
      </c>
      <c r="D97" s="8" t="s">
        <v>717</v>
      </c>
      <c r="E97" s="7" t="s">
        <v>725</v>
      </c>
      <c r="F97" s="8" t="s">
        <v>726</v>
      </c>
      <c r="G97" s="8" t="s">
        <v>368</v>
      </c>
      <c r="H97" s="7" t="s">
        <v>1078</v>
      </c>
      <c r="I97" s="10" t="s">
        <v>1079</v>
      </c>
      <c r="J97" s="7" t="s">
        <v>41</v>
      </c>
    </row>
    <row r="98" ht="15.75" customHeight="1">
      <c r="A98" s="7">
        <v>77.0</v>
      </c>
      <c r="B98" s="7" t="s">
        <v>63</v>
      </c>
      <c r="C98" s="7">
        <v>13.0</v>
      </c>
      <c r="D98" s="8" t="s">
        <v>717</v>
      </c>
      <c r="E98" s="7" t="s">
        <v>725</v>
      </c>
      <c r="F98" s="8" t="s">
        <v>726</v>
      </c>
      <c r="G98" s="8" t="s">
        <v>368</v>
      </c>
      <c r="H98" s="7" t="s">
        <v>1082</v>
      </c>
      <c r="I98" s="10" t="s">
        <v>1083</v>
      </c>
      <c r="J98" s="7" t="s">
        <v>41</v>
      </c>
    </row>
    <row r="99" ht="15.75" customHeight="1">
      <c r="A99" s="7">
        <v>78.0</v>
      </c>
      <c r="B99" s="7" t="s">
        <v>63</v>
      </c>
      <c r="C99" s="7">
        <v>13.0</v>
      </c>
      <c r="D99" s="8" t="s">
        <v>717</v>
      </c>
      <c r="E99" s="7" t="s">
        <v>725</v>
      </c>
      <c r="F99" s="8" t="s">
        <v>726</v>
      </c>
      <c r="G99" s="8" t="s">
        <v>368</v>
      </c>
      <c r="H99" s="7" t="s">
        <v>1084</v>
      </c>
      <c r="I99" s="10" t="s">
        <v>1085</v>
      </c>
      <c r="J99" s="7" t="s">
        <v>41</v>
      </c>
    </row>
    <row r="100" ht="15.75" customHeight="1">
      <c r="A100" s="7">
        <v>79.0</v>
      </c>
      <c r="B100" s="7" t="s">
        <v>63</v>
      </c>
      <c r="C100" s="7">
        <v>13.0</v>
      </c>
      <c r="D100" s="8" t="s">
        <v>717</v>
      </c>
      <c r="E100" s="7" t="s">
        <v>725</v>
      </c>
      <c r="F100" s="8" t="s">
        <v>726</v>
      </c>
      <c r="G100" s="8" t="s">
        <v>368</v>
      </c>
      <c r="H100" s="7" t="s">
        <v>1086</v>
      </c>
      <c r="I100" s="10" t="s">
        <v>1088</v>
      </c>
      <c r="J100" s="7" t="s">
        <v>41</v>
      </c>
    </row>
    <row r="101" ht="15.75" customHeight="1">
      <c r="A101" s="7">
        <v>80.0</v>
      </c>
      <c r="B101" s="7" t="s">
        <v>63</v>
      </c>
      <c r="C101" s="7">
        <v>13.0</v>
      </c>
      <c r="D101" s="8" t="s">
        <v>717</v>
      </c>
      <c r="E101" s="7" t="s">
        <v>732</v>
      </c>
      <c r="F101" s="8" t="s">
        <v>733</v>
      </c>
      <c r="G101" s="8" t="s">
        <v>368</v>
      </c>
      <c r="H101" s="7" t="s">
        <v>1091</v>
      </c>
      <c r="I101" s="10" t="s">
        <v>1092</v>
      </c>
      <c r="J101" s="7" t="s">
        <v>442</v>
      </c>
    </row>
    <row r="102" ht="15.75" customHeight="1">
      <c r="A102" s="7">
        <v>81.0</v>
      </c>
      <c r="B102" s="7" t="s">
        <v>63</v>
      </c>
      <c r="C102" s="7">
        <v>13.0</v>
      </c>
      <c r="D102" s="8" t="s">
        <v>717</v>
      </c>
      <c r="E102" s="7" t="s">
        <v>732</v>
      </c>
      <c r="F102" s="8" t="s">
        <v>733</v>
      </c>
      <c r="G102" s="8" t="s">
        <v>368</v>
      </c>
      <c r="H102" s="7" t="s">
        <v>1094</v>
      </c>
      <c r="I102" s="10" t="s">
        <v>1095</v>
      </c>
      <c r="J102" s="7" t="s">
        <v>442</v>
      </c>
    </row>
    <row r="103" ht="15.75" customHeight="1">
      <c r="A103" s="7">
        <v>82.0</v>
      </c>
      <c r="B103" s="7" t="s">
        <v>63</v>
      </c>
      <c r="C103" s="7">
        <v>13.0</v>
      </c>
      <c r="D103" s="8" t="s">
        <v>717</v>
      </c>
      <c r="E103" s="7" t="s">
        <v>732</v>
      </c>
      <c r="F103" s="8" t="s">
        <v>733</v>
      </c>
      <c r="G103" s="8" t="s">
        <v>368</v>
      </c>
      <c r="H103" s="7" t="s">
        <v>1097</v>
      </c>
      <c r="I103" s="10" t="s">
        <v>959</v>
      </c>
      <c r="J103" s="7" t="s">
        <v>41</v>
      </c>
    </row>
    <row r="104" ht="15.75" customHeight="1">
      <c r="A104" s="7">
        <v>83.0</v>
      </c>
      <c r="B104" s="7" t="s">
        <v>63</v>
      </c>
      <c r="C104" s="7">
        <v>13.0</v>
      </c>
      <c r="D104" s="8" t="s">
        <v>717</v>
      </c>
      <c r="E104" s="7" t="s">
        <v>732</v>
      </c>
      <c r="F104" s="8" t="s">
        <v>733</v>
      </c>
      <c r="G104" s="8" t="s">
        <v>368</v>
      </c>
      <c r="H104" s="7" t="s">
        <v>1099</v>
      </c>
      <c r="I104" s="10" t="s">
        <v>1100</v>
      </c>
      <c r="J104" s="7" t="s">
        <v>41</v>
      </c>
    </row>
    <row r="105" ht="15.75" customHeight="1">
      <c r="A105" s="7">
        <v>84.0</v>
      </c>
      <c r="B105" s="7" t="s">
        <v>63</v>
      </c>
      <c r="C105" s="7">
        <v>13.0</v>
      </c>
      <c r="D105" s="8" t="s">
        <v>717</v>
      </c>
      <c r="E105" s="7" t="s">
        <v>732</v>
      </c>
      <c r="F105" s="8" t="s">
        <v>733</v>
      </c>
      <c r="G105" s="8" t="s">
        <v>368</v>
      </c>
      <c r="H105" s="7" t="s">
        <v>1101</v>
      </c>
      <c r="I105" s="10" t="s">
        <v>1102</v>
      </c>
      <c r="J105" s="7" t="s">
        <v>41</v>
      </c>
    </row>
    <row r="106" ht="15.75" customHeight="1">
      <c r="A106" s="7">
        <v>85.0</v>
      </c>
      <c r="B106" s="7" t="s">
        <v>63</v>
      </c>
      <c r="C106" s="7">
        <v>13.0</v>
      </c>
      <c r="D106" s="8" t="s">
        <v>717</v>
      </c>
      <c r="E106" s="7" t="s">
        <v>742</v>
      </c>
      <c r="F106" s="8" t="s">
        <v>743</v>
      </c>
      <c r="G106" s="8" t="s">
        <v>368</v>
      </c>
      <c r="H106" s="7" t="s">
        <v>747</v>
      </c>
      <c r="I106" s="10" t="s">
        <v>1104</v>
      </c>
      <c r="J106" s="7" t="s">
        <v>41</v>
      </c>
    </row>
    <row r="107" ht="15.75" customHeight="1">
      <c r="A107" s="7">
        <v>86.0</v>
      </c>
      <c r="B107" s="7" t="s">
        <v>748</v>
      </c>
      <c r="C107" s="7">
        <v>1.0</v>
      </c>
      <c r="D107" s="8" t="s">
        <v>167</v>
      </c>
      <c r="E107" s="7" t="s">
        <v>383</v>
      </c>
      <c r="F107" s="8" t="s">
        <v>171</v>
      </c>
      <c r="G107" s="8" t="s">
        <v>360</v>
      </c>
      <c r="H107" s="7" t="s">
        <v>379</v>
      </c>
      <c r="I107" s="10" t="s">
        <v>380</v>
      </c>
      <c r="J107" s="7" t="s">
        <v>41</v>
      </c>
    </row>
    <row r="108" ht="15.75" customHeight="1">
      <c r="A108" s="7">
        <v>87.0</v>
      </c>
      <c r="B108" s="7" t="s">
        <v>748</v>
      </c>
      <c r="C108" s="7">
        <v>1.0</v>
      </c>
      <c r="D108" s="8" t="s">
        <v>167</v>
      </c>
      <c r="E108" s="7" t="s">
        <v>383</v>
      </c>
      <c r="F108" s="8" t="s">
        <v>171</v>
      </c>
      <c r="G108" s="8" t="s">
        <v>360</v>
      </c>
      <c r="H108" s="7" t="s">
        <v>393</v>
      </c>
      <c r="I108" s="10" t="s">
        <v>394</v>
      </c>
      <c r="J108" s="7" t="s">
        <v>41</v>
      </c>
    </row>
    <row r="109" ht="15.75" customHeight="1">
      <c r="A109" s="7">
        <v>88.0</v>
      </c>
      <c r="B109" s="7" t="s">
        <v>748</v>
      </c>
      <c r="C109" s="7">
        <v>1.0</v>
      </c>
      <c r="D109" s="8" t="s">
        <v>167</v>
      </c>
      <c r="E109" s="7" t="s">
        <v>403</v>
      </c>
      <c r="F109" s="8" t="s">
        <v>251</v>
      </c>
      <c r="G109" s="8" t="s">
        <v>360</v>
      </c>
      <c r="H109" s="7" t="s">
        <v>255</v>
      </c>
      <c r="I109" s="10" t="s">
        <v>398</v>
      </c>
      <c r="J109" s="7" t="s">
        <v>41</v>
      </c>
    </row>
    <row r="110" ht="15.75" customHeight="1">
      <c r="A110" s="7">
        <v>89.0</v>
      </c>
      <c r="B110" s="7" t="s">
        <v>748</v>
      </c>
      <c r="C110" s="7">
        <v>1.0</v>
      </c>
      <c r="D110" s="8" t="s">
        <v>167</v>
      </c>
      <c r="E110" s="7" t="s">
        <v>409</v>
      </c>
      <c r="F110" s="8" t="s">
        <v>260</v>
      </c>
      <c r="G110" s="8" t="s">
        <v>360</v>
      </c>
      <c r="H110" s="7" t="s">
        <v>405</v>
      </c>
      <c r="I110" s="10" t="s">
        <v>406</v>
      </c>
      <c r="J110" s="7" t="s">
        <v>41</v>
      </c>
    </row>
    <row r="111" ht="15.75" customHeight="1">
      <c r="A111" s="7">
        <v>90.0</v>
      </c>
      <c r="B111" s="7" t="s">
        <v>748</v>
      </c>
      <c r="C111" s="7">
        <v>1.0</v>
      </c>
      <c r="D111" s="8" t="s">
        <v>167</v>
      </c>
      <c r="E111" s="7" t="s">
        <v>409</v>
      </c>
      <c r="F111" s="8" t="s">
        <v>260</v>
      </c>
      <c r="G111" s="8" t="s">
        <v>361</v>
      </c>
      <c r="H111" s="7" t="s">
        <v>565</v>
      </c>
      <c r="I111" s="10" t="s">
        <v>566</v>
      </c>
      <c r="J111" s="7" t="s">
        <v>41</v>
      </c>
    </row>
    <row r="112" ht="15.75" customHeight="1">
      <c r="A112" s="7">
        <v>91.0</v>
      </c>
      <c r="B112" s="7" t="s">
        <v>748</v>
      </c>
      <c r="C112" s="7">
        <v>2.0</v>
      </c>
      <c r="D112" s="8" t="s">
        <v>282</v>
      </c>
      <c r="E112" s="7" t="s">
        <v>390</v>
      </c>
      <c r="F112" s="8" t="s">
        <v>284</v>
      </c>
      <c r="G112" s="8" t="s">
        <v>360</v>
      </c>
      <c r="H112" s="7" t="s">
        <v>385</v>
      </c>
      <c r="I112" s="10" t="s">
        <v>386</v>
      </c>
      <c r="J112" s="7" t="s">
        <v>41</v>
      </c>
    </row>
    <row r="113" ht="15.75" customHeight="1">
      <c r="A113" s="7">
        <v>92.0</v>
      </c>
      <c r="B113" s="7" t="s">
        <v>748</v>
      </c>
      <c r="C113" s="7">
        <v>2.0</v>
      </c>
      <c r="D113" s="8" t="s">
        <v>282</v>
      </c>
      <c r="E113" s="7" t="s">
        <v>390</v>
      </c>
      <c r="F113" s="8" t="s">
        <v>284</v>
      </c>
      <c r="G113" s="8" t="s">
        <v>360</v>
      </c>
      <c r="H113" s="7" t="s">
        <v>428</v>
      </c>
      <c r="I113" s="10" t="s">
        <v>430</v>
      </c>
      <c r="J113" s="7" t="s">
        <v>41</v>
      </c>
    </row>
    <row r="114" ht="15.75" customHeight="1">
      <c r="A114" s="7">
        <v>93.0</v>
      </c>
      <c r="B114" s="7" t="s">
        <v>748</v>
      </c>
      <c r="C114" s="7">
        <v>2.0</v>
      </c>
      <c r="D114" s="8" t="s">
        <v>282</v>
      </c>
      <c r="E114" s="7" t="s">
        <v>390</v>
      </c>
      <c r="F114" s="8" t="s">
        <v>284</v>
      </c>
      <c r="G114" s="8" t="s">
        <v>360</v>
      </c>
      <c r="H114" s="7" t="s">
        <v>437</v>
      </c>
      <c r="I114" s="10" t="s">
        <v>439</v>
      </c>
      <c r="J114" s="7" t="s">
        <v>442</v>
      </c>
    </row>
    <row r="115" ht="15.75" customHeight="1">
      <c r="A115" s="7">
        <v>94.0</v>
      </c>
      <c r="B115" s="7" t="s">
        <v>748</v>
      </c>
      <c r="C115" s="7">
        <v>2.0</v>
      </c>
      <c r="D115" s="8" t="s">
        <v>282</v>
      </c>
      <c r="E115" s="7" t="s">
        <v>766</v>
      </c>
      <c r="F115" s="8" t="s">
        <v>767</v>
      </c>
      <c r="G115" s="8" t="s">
        <v>364</v>
      </c>
      <c r="H115" s="7" t="s">
        <v>771</v>
      </c>
      <c r="I115" s="10" t="s">
        <v>799</v>
      </c>
      <c r="J115" s="7" t="s">
        <v>41</v>
      </c>
    </row>
    <row r="116" ht="15.75" customHeight="1">
      <c r="A116" s="7">
        <v>95.0</v>
      </c>
      <c r="B116" s="7" t="s">
        <v>748</v>
      </c>
      <c r="C116" s="7">
        <v>3.0</v>
      </c>
      <c r="D116" s="8" t="s">
        <v>777</v>
      </c>
      <c r="E116" s="7" t="s">
        <v>377</v>
      </c>
      <c r="F116" s="8" t="s">
        <v>778</v>
      </c>
      <c r="G116" s="8" t="s">
        <v>360</v>
      </c>
      <c r="H116" s="7" t="s">
        <v>362</v>
      </c>
      <c r="I116" s="10" t="s">
        <v>371</v>
      </c>
      <c r="J116" s="7" t="s">
        <v>41</v>
      </c>
    </row>
    <row r="117" ht="15.75" customHeight="1">
      <c r="A117" s="7">
        <v>96.0</v>
      </c>
      <c r="B117" s="7" t="s">
        <v>748</v>
      </c>
      <c r="C117" s="7">
        <v>3.0</v>
      </c>
      <c r="D117" s="8" t="s">
        <v>777</v>
      </c>
      <c r="E117" s="7" t="s">
        <v>377</v>
      </c>
      <c r="F117" s="8" t="s">
        <v>778</v>
      </c>
      <c r="G117" s="8" t="s">
        <v>360</v>
      </c>
      <c r="H117" s="7" t="s">
        <v>472</v>
      </c>
      <c r="I117" s="10" t="s">
        <v>474</v>
      </c>
      <c r="J117" s="7" t="s">
        <v>41</v>
      </c>
    </row>
    <row r="118" ht="15.75" customHeight="1">
      <c r="A118" s="7">
        <v>97.0</v>
      </c>
      <c r="B118" s="7" t="s">
        <v>748</v>
      </c>
      <c r="C118" s="7">
        <v>3.0</v>
      </c>
      <c r="D118" s="8" t="s">
        <v>777</v>
      </c>
      <c r="E118" s="7" t="s">
        <v>377</v>
      </c>
      <c r="F118" s="8" t="s">
        <v>778</v>
      </c>
      <c r="G118" s="8" t="s">
        <v>360</v>
      </c>
      <c r="H118" s="7" t="s">
        <v>480</v>
      </c>
      <c r="I118" s="10" t="s">
        <v>481</v>
      </c>
      <c r="J118" s="7" t="s">
        <v>41</v>
      </c>
    </row>
    <row r="119" ht="15.75" customHeight="1">
      <c r="A119" s="7">
        <v>98.0</v>
      </c>
      <c r="B119" s="7" t="s">
        <v>748</v>
      </c>
      <c r="C119" s="7">
        <v>3.0</v>
      </c>
      <c r="D119" s="8" t="s">
        <v>777</v>
      </c>
      <c r="E119" s="7" t="s">
        <v>377</v>
      </c>
      <c r="F119" s="8" t="s">
        <v>778</v>
      </c>
      <c r="G119" s="8" t="s">
        <v>360</v>
      </c>
      <c r="H119" s="7" t="s">
        <v>487</v>
      </c>
      <c r="I119" s="10" t="s">
        <v>489</v>
      </c>
      <c r="J119" s="7" t="s">
        <v>442</v>
      </c>
    </row>
    <row r="120" ht="15.75" customHeight="1">
      <c r="A120" s="7">
        <v>99.0</v>
      </c>
      <c r="B120" s="7" t="s">
        <v>748</v>
      </c>
      <c r="C120" s="7">
        <v>3.0</v>
      </c>
      <c r="D120" s="8" t="s">
        <v>777</v>
      </c>
      <c r="E120" s="7" t="s">
        <v>454</v>
      </c>
      <c r="F120" s="8" t="s">
        <v>785</v>
      </c>
      <c r="G120" s="8" t="s">
        <v>360</v>
      </c>
      <c r="H120" s="7" t="s">
        <v>448</v>
      </c>
      <c r="I120" s="10" t="s">
        <v>450</v>
      </c>
      <c r="J120" s="7" t="s">
        <v>442</v>
      </c>
    </row>
    <row r="121" ht="15.75" customHeight="1">
      <c r="A121" s="7">
        <v>100.0</v>
      </c>
      <c r="B121" s="7" t="s">
        <v>748</v>
      </c>
      <c r="C121" s="7">
        <v>3.0</v>
      </c>
      <c r="D121" s="8" t="s">
        <v>777</v>
      </c>
      <c r="E121" s="7" t="s">
        <v>512</v>
      </c>
      <c r="F121" s="8" t="s">
        <v>795</v>
      </c>
      <c r="G121" s="8" t="s">
        <v>360</v>
      </c>
      <c r="H121" s="7" t="s">
        <v>460</v>
      </c>
      <c r="I121" s="10" t="s">
        <v>497</v>
      </c>
      <c r="J121" s="7" t="s">
        <v>41</v>
      </c>
    </row>
    <row r="122" ht="15.75" customHeight="1">
      <c r="A122" s="7">
        <v>101.0</v>
      </c>
      <c r="B122" s="7" t="s">
        <v>748</v>
      </c>
      <c r="C122" s="7">
        <v>3.0</v>
      </c>
      <c r="D122" s="8" t="s">
        <v>777</v>
      </c>
      <c r="E122" s="7" t="s">
        <v>530</v>
      </c>
      <c r="F122" s="8" t="s">
        <v>797</v>
      </c>
      <c r="G122" s="8" t="s">
        <v>360</v>
      </c>
      <c r="H122" s="7" t="s">
        <v>473</v>
      </c>
      <c r="I122" s="10" t="s">
        <v>521</v>
      </c>
      <c r="J122" s="7" t="s">
        <v>41</v>
      </c>
    </row>
    <row r="123" ht="15.75" customHeight="1">
      <c r="A123" s="7">
        <v>102.0</v>
      </c>
      <c r="B123" s="7" t="s">
        <v>748</v>
      </c>
      <c r="C123" s="7">
        <v>3.0</v>
      </c>
      <c r="D123" s="8" t="s">
        <v>777</v>
      </c>
      <c r="E123" s="7" t="s">
        <v>530</v>
      </c>
      <c r="F123" s="8" t="s">
        <v>797</v>
      </c>
      <c r="G123" s="8" t="s">
        <v>364</v>
      </c>
      <c r="H123" s="7" t="s">
        <v>804</v>
      </c>
      <c r="I123" s="10" t="s">
        <v>806</v>
      </c>
      <c r="J123" s="7" t="s">
        <v>442</v>
      </c>
    </row>
    <row r="124" ht="15.75" customHeight="1">
      <c r="A124" s="7">
        <v>103.0</v>
      </c>
      <c r="B124" s="7" t="s">
        <v>748</v>
      </c>
      <c r="C124" s="7">
        <v>4.0</v>
      </c>
      <c r="D124" s="8" t="s">
        <v>421</v>
      </c>
      <c r="E124" s="7" t="s">
        <v>588</v>
      </c>
      <c r="F124" s="8" t="s">
        <v>483</v>
      </c>
      <c r="G124" s="8" t="s">
        <v>361</v>
      </c>
      <c r="H124" s="7" t="s">
        <v>488</v>
      </c>
      <c r="I124" s="10" t="s">
        <v>586</v>
      </c>
      <c r="J124" s="7" t="s">
        <v>41</v>
      </c>
    </row>
    <row r="125" ht="15.75" customHeight="1">
      <c r="A125" s="7">
        <v>104.0</v>
      </c>
      <c r="B125" s="7" t="s">
        <v>748</v>
      </c>
      <c r="C125" s="7">
        <v>4.0</v>
      </c>
      <c r="D125" s="8" t="s">
        <v>421</v>
      </c>
      <c r="E125" s="7" t="s">
        <v>423</v>
      </c>
      <c r="F125" s="8" t="s">
        <v>492</v>
      </c>
      <c r="G125" s="8" t="s">
        <v>360</v>
      </c>
      <c r="H125" s="7" t="s">
        <v>413</v>
      </c>
      <c r="I125" s="10" t="s">
        <v>417</v>
      </c>
      <c r="J125" s="7" t="s">
        <v>41</v>
      </c>
    </row>
    <row r="126" ht="15.75" customHeight="1">
      <c r="A126" s="7">
        <v>105.0</v>
      </c>
      <c r="B126" s="7" t="s">
        <v>748</v>
      </c>
      <c r="C126" s="7">
        <v>4.0</v>
      </c>
      <c r="D126" s="8" t="s">
        <v>421</v>
      </c>
      <c r="E126" s="7" t="s">
        <v>423</v>
      </c>
      <c r="F126" s="8" t="s">
        <v>492</v>
      </c>
      <c r="G126" s="8" t="s">
        <v>361</v>
      </c>
      <c r="H126" s="7" t="s">
        <v>596</v>
      </c>
      <c r="I126" s="10" t="s">
        <v>597</v>
      </c>
      <c r="J126" s="7" t="s">
        <v>41</v>
      </c>
    </row>
    <row r="127" ht="15.75" customHeight="1">
      <c r="A127" s="7">
        <v>106.0</v>
      </c>
      <c r="B127" s="7" t="s">
        <v>748</v>
      </c>
      <c r="C127" s="7">
        <v>4.0</v>
      </c>
      <c r="D127" s="8" t="s">
        <v>421</v>
      </c>
      <c r="E127" s="7" t="s">
        <v>423</v>
      </c>
      <c r="F127" s="8" t="s">
        <v>492</v>
      </c>
      <c r="G127" s="8" t="s">
        <v>361</v>
      </c>
      <c r="H127" s="7" t="s">
        <v>605</v>
      </c>
      <c r="I127" s="10" t="s">
        <v>606</v>
      </c>
      <c r="J127" s="7" t="s">
        <v>41</v>
      </c>
    </row>
    <row r="128" ht="15.75" customHeight="1">
      <c r="A128" s="7">
        <v>107.0</v>
      </c>
      <c r="B128" s="7" t="s">
        <v>748</v>
      </c>
      <c r="C128" s="7">
        <v>5.0</v>
      </c>
      <c r="D128" s="8" t="s">
        <v>464</v>
      </c>
      <c r="E128" s="7" t="s">
        <v>641</v>
      </c>
      <c r="F128" s="8" t="s">
        <v>505</v>
      </c>
      <c r="G128" s="8" t="s">
        <v>361</v>
      </c>
      <c r="H128" s="7" t="s">
        <v>509</v>
      </c>
      <c r="I128" s="10" t="s">
        <v>635</v>
      </c>
      <c r="J128" s="7" t="s">
        <v>442</v>
      </c>
    </row>
    <row r="129" ht="15.75" customHeight="1">
      <c r="A129" s="7">
        <v>108.0</v>
      </c>
      <c r="B129" s="7" t="s">
        <v>748</v>
      </c>
      <c r="C129" s="7">
        <v>5.0</v>
      </c>
      <c r="D129" s="8" t="s">
        <v>464</v>
      </c>
      <c r="E129" s="7" t="s">
        <v>466</v>
      </c>
      <c r="F129" s="8" t="s">
        <v>510</v>
      </c>
      <c r="G129" s="8" t="s">
        <v>360</v>
      </c>
      <c r="H129" s="7" t="s">
        <v>459</v>
      </c>
      <c r="I129" s="10" t="s">
        <v>461</v>
      </c>
      <c r="J129" s="7" t="s">
        <v>442</v>
      </c>
    </row>
    <row r="130" ht="15.75" customHeight="1">
      <c r="A130" s="7">
        <v>109.0</v>
      </c>
      <c r="B130" s="7" t="s">
        <v>748</v>
      </c>
      <c r="C130" s="7">
        <v>5.0</v>
      </c>
      <c r="D130" s="8" t="s">
        <v>464</v>
      </c>
      <c r="E130" s="7" t="s">
        <v>822</v>
      </c>
      <c r="F130" s="8" t="s">
        <v>520</v>
      </c>
      <c r="G130" s="8" t="s">
        <v>364</v>
      </c>
      <c r="H130" s="7" t="s">
        <v>824</v>
      </c>
      <c r="I130" s="10" t="s">
        <v>825</v>
      </c>
      <c r="J130" s="7" t="s">
        <v>41</v>
      </c>
    </row>
    <row r="131" ht="15.75" customHeight="1">
      <c r="A131" s="7">
        <v>110.0</v>
      </c>
      <c r="B131" s="7" t="s">
        <v>748</v>
      </c>
      <c r="C131" s="7">
        <v>5.0</v>
      </c>
      <c r="D131" s="8" t="s">
        <v>464</v>
      </c>
      <c r="E131" s="7" t="s">
        <v>622</v>
      </c>
      <c r="F131" s="8" t="s">
        <v>529</v>
      </c>
      <c r="G131" s="8" t="s">
        <v>361</v>
      </c>
      <c r="H131" s="7" t="s">
        <v>613</v>
      </c>
      <c r="I131" s="10" t="s">
        <v>617</v>
      </c>
      <c r="J131" s="7" t="s">
        <v>41</v>
      </c>
    </row>
    <row r="132" ht="15.75" customHeight="1">
      <c r="A132" s="7">
        <v>111.0</v>
      </c>
      <c r="B132" s="7" t="s">
        <v>748</v>
      </c>
      <c r="C132" s="7">
        <v>5.0</v>
      </c>
      <c r="D132" s="8" t="s">
        <v>464</v>
      </c>
      <c r="E132" s="7" t="s">
        <v>622</v>
      </c>
      <c r="F132" s="8" t="s">
        <v>529</v>
      </c>
      <c r="G132" s="8" t="s">
        <v>364</v>
      </c>
      <c r="H132" s="7" t="s">
        <v>813</v>
      </c>
      <c r="I132" s="10" t="s">
        <v>617</v>
      </c>
      <c r="J132" s="7" t="s">
        <v>41</v>
      </c>
    </row>
    <row r="133" ht="15.75" customHeight="1">
      <c r="A133" s="7">
        <v>112.0</v>
      </c>
      <c r="B133" s="7" t="s">
        <v>748</v>
      </c>
      <c r="C133" s="7">
        <v>5.0</v>
      </c>
      <c r="D133" s="8" t="s">
        <v>464</v>
      </c>
      <c r="E133" s="7" t="s">
        <v>818</v>
      </c>
      <c r="F133" s="8" t="s">
        <v>830</v>
      </c>
      <c r="G133" s="8" t="s">
        <v>364</v>
      </c>
      <c r="H133" s="7" t="s">
        <v>815</v>
      </c>
      <c r="I133" s="10" t="s">
        <v>816</v>
      </c>
      <c r="J133" s="7" t="s">
        <v>41</v>
      </c>
    </row>
    <row r="134" ht="15.75" customHeight="1">
      <c r="A134" s="7">
        <v>113.0</v>
      </c>
      <c r="B134" s="7" t="s">
        <v>748</v>
      </c>
      <c r="C134" s="7">
        <v>6.0</v>
      </c>
      <c r="D134" s="8" t="s">
        <v>538</v>
      </c>
      <c r="E134" s="7" t="s">
        <v>544</v>
      </c>
      <c r="F134" s="8" t="s">
        <v>547</v>
      </c>
      <c r="G134" s="8" t="s">
        <v>361</v>
      </c>
      <c r="H134" s="7" t="s">
        <v>536</v>
      </c>
      <c r="I134" s="10" t="s">
        <v>537</v>
      </c>
      <c r="J134" s="7" t="s">
        <v>41</v>
      </c>
    </row>
    <row r="135" ht="15.75" customHeight="1">
      <c r="A135" s="7">
        <v>114.0</v>
      </c>
      <c r="B135" s="7" t="s">
        <v>748</v>
      </c>
      <c r="C135" s="7">
        <v>6.0</v>
      </c>
      <c r="D135" s="8" t="s">
        <v>538</v>
      </c>
      <c r="E135" s="7" t="s">
        <v>544</v>
      </c>
      <c r="F135" s="8" t="s">
        <v>547</v>
      </c>
      <c r="G135" s="8" t="s">
        <v>361</v>
      </c>
      <c r="H135" s="7" t="s">
        <v>546</v>
      </c>
      <c r="I135" s="10" t="s">
        <v>550</v>
      </c>
      <c r="J135" s="7" t="s">
        <v>41</v>
      </c>
    </row>
    <row r="136" ht="15.75" customHeight="1">
      <c r="A136" s="7">
        <v>115.0</v>
      </c>
      <c r="B136" s="7" t="s">
        <v>748</v>
      </c>
      <c r="C136" s="7">
        <v>6.0</v>
      </c>
      <c r="D136" s="8" t="s">
        <v>538</v>
      </c>
      <c r="E136" s="7" t="s">
        <v>544</v>
      </c>
      <c r="F136" s="8" t="s">
        <v>547</v>
      </c>
      <c r="G136" s="8" t="s">
        <v>361</v>
      </c>
      <c r="H136" s="7" t="s">
        <v>556</v>
      </c>
      <c r="I136" s="10" t="s">
        <v>558</v>
      </c>
      <c r="J136" s="7" t="s">
        <v>41</v>
      </c>
    </row>
    <row r="137" ht="15.75" customHeight="1">
      <c r="A137" s="7">
        <v>116.0</v>
      </c>
      <c r="B137" s="7" t="s">
        <v>748</v>
      </c>
      <c r="C137" s="7">
        <v>6.0</v>
      </c>
      <c r="D137" s="8" t="s">
        <v>538</v>
      </c>
      <c r="E137" s="7" t="s">
        <v>544</v>
      </c>
      <c r="F137" s="8" t="s">
        <v>547</v>
      </c>
      <c r="G137" s="8" t="s">
        <v>361</v>
      </c>
      <c r="H137" s="7" t="s">
        <v>573</v>
      </c>
      <c r="I137" s="10" t="s">
        <v>575</v>
      </c>
      <c r="J137" s="7" t="s">
        <v>41</v>
      </c>
    </row>
    <row r="138" ht="15.75" customHeight="1">
      <c r="A138" s="7">
        <v>117.0</v>
      </c>
      <c r="B138" s="7" t="s">
        <v>748</v>
      </c>
      <c r="C138" s="7">
        <v>6.0</v>
      </c>
      <c r="D138" s="8" t="s">
        <v>538</v>
      </c>
      <c r="E138" s="7" t="s">
        <v>544</v>
      </c>
      <c r="F138" s="8" t="s">
        <v>547</v>
      </c>
      <c r="G138" s="8" t="s">
        <v>361</v>
      </c>
      <c r="H138" s="7" t="s">
        <v>629</v>
      </c>
      <c r="I138" s="10" t="s">
        <v>630</v>
      </c>
      <c r="J138" s="7" t="s">
        <v>41</v>
      </c>
    </row>
    <row r="139" ht="15.75" customHeight="1">
      <c r="A139" s="7">
        <v>118.0</v>
      </c>
      <c r="B139" s="7" t="s">
        <v>748</v>
      </c>
      <c r="C139" s="7">
        <v>6.0</v>
      </c>
      <c r="D139" s="8" t="s">
        <v>538</v>
      </c>
      <c r="E139" s="7" t="s">
        <v>544</v>
      </c>
      <c r="F139" s="8" t="s">
        <v>547</v>
      </c>
      <c r="G139" s="8" t="s">
        <v>361</v>
      </c>
      <c r="H139" s="7" t="s">
        <v>643</v>
      </c>
      <c r="I139" s="10" t="s">
        <v>647</v>
      </c>
      <c r="J139" s="7" t="s">
        <v>41</v>
      </c>
    </row>
    <row r="140" ht="15.75" customHeight="1">
      <c r="A140" s="7">
        <v>119.0</v>
      </c>
      <c r="B140" s="7" t="s">
        <v>748</v>
      </c>
      <c r="C140" s="7">
        <v>6.0</v>
      </c>
      <c r="D140" s="8" t="s">
        <v>538</v>
      </c>
      <c r="E140" s="7" t="s">
        <v>544</v>
      </c>
      <c r="F140" s="8" t="s">
        <v>547</v>
      </c>
      <c r="G140" s="8" t="s">
        <v>364</v>
      </c>
      <c r="H140" s="7" t="s">
        <v>810</v>
      </c>
      <c r="I140" s="10" t="s">
        <v>811</v>
      </c>
      <c r="J140" s="7" t="s">
        <v>41</v>
      </c>
    </row>
    <row r="141" ht="15.75" customHeight="1">
      <c r="A141" s="7">
        <v>120.0</v>
      </c>
      <c r="B141" s="7" t="s">
        <v>748</v>
      </c>
      <c r="C141" s="7">
        <v>6.0</v>
      </c>
      <c r="D141" s="8" t="s">
        <v>538</v>
      </c>
      <c r="E141" s="7" t="s">
        <v>544</v>
      </c>
      <c r="F141" s="8" t="s">
        <v>547</v>
      </c>
      <c r="G141" s="8" t="s">
        <v>364</v>
      </c>
      <c r="H141" s="7" t="s">
        <v>820</v>
      </c>
      <c r="I141" s="10" t="s">
        <v>821</v>
      </c>
      <c r="J141" s="7" t="s">
        <v>41</v>
      </c>
    </row>
    <row r="142" ht="15.75" customHeight="1">
      <c r="A142" s="7">
        <v>121.0</v>
      </c>
      <c r="B142" s="7" t="s">
        <v>748</v>
      </c>
      <c r="C142" s="7">
        <v>6.0</v>
      </c>
      <c r="D142" s="8" t="s">
        <v>538</v>
      </c>
      <c r="E142" s="7" t="s">
        <v>658</v>
      </c>
      <c r="F142" s="8" t="s">
        <v>554</v>
      </c>
      <c r="G142" s="8" t="s">
        <v>361</v>
      </c>
      <c r="H142" s="7" t="s">
        <v>557</v>
      </c>
      <c r="I142" s="10" t="s">
        <v>656</v>
      </c>
      <c r="J142" s="7" t="s">
        <v>41</v>
      </c>
    </row>
    <row r="143" ht="15.75" customHeight="1">
      <c r="A143" s="7">
        <v>122.0</v>
      </c>
      <c r="B143" s="7" t="s">
        <v>748</v>
      </c>
      <c r="C143" s="7">
        <v>7.0</v>
      </c>
      <c r="D143" s="8" t="s">
        <v>568</v>
      </c>
      <c r="E143" s="7" t="s">
        <v>670</v>
      </c>
      <c r="F143" s="8" t="s">
        <v>576</v>
      </c>
      <c r="G143" s="8" t="s">
        <v>361</v>
      </c>
      <c r="H143" s="7" t="s">
        <v>581</v>
      </c>
      <c r="I143" s="10" t="s">
        <v>665</v>
      </c>
      <c r="J143" s="7" t="s">
        <v>442</v>
      </c>
    </row>
    <row r="144" ht="15.75" customHeight="1">
      <c r="A144" s="7">
        <v>123.0</v>
      </c>
      <c r="B144" s="7" t="s">
        <v>748</v>
      </c>
      <c r="C144" s="7">
        <v>8.0</v>
      </c>
      <c r="D144" s="8" t="s">
        <v>589</v>
      </c>
      <c r="E144" s="7" t="s">
        <v>683</v>
      </c>
      <c r="F144" s="8" t="s">
        <v>601</v>
      </c>
      <c r="G144" s="8" t="s">
        <v>361</v>
      </c>
      <c r="H144" s="7" t="s">
        <v>674</v>
      </c>
      <c r="I144" s="10" t="s">
        <v>675</v>
      </c>
      <c r="J144" s="7" t="s">
        <v>41</v>
      </c>
    </row>
    <row r="145" ht="15.75" customHeight="1">
      <c r="A145" s="7">
        <v>124.0</v>
      </c>
      <c r="B145" s="7" t="s">
        <v>748</v>
      </c>
      <c r="C145" s="7">
        <v>8.0</v>
      </c>
      <c r="D145" s="8" t="s">
        <v>589</v>
      </c>
      <c r="E145" s="7" t="s">
        <v>683</v>
      </c>
      <c r="F145" s="8" t="s">
        <v>601</v>
      </c>
      <c r="G145" s="8" t="s">
        <v>364</v>
      </c>
      <c r="H145" s="7" t="s">
        <v>828</v>
      </c>
      <c r="I145" s="10" t="s">
        <v>829</v>
      </c>
      <c r="J145" s="7" t="s">
        <v>41</v>
      </c>
    </row>
    <row r="146" ht="15.75" customHeight="1">
      <c r="A146" s="7">
        <v>125.0</v>
      </c>
      <c r="B146" s="7" t="s">
        <v>748</v>
      </c>
      <c r="C146" s="7">
        <v>9.0</v>
      </c>
      <c r="D146" s="8" t="s">
        <v>607</v>
      </c>
      <c r="E146" s="7" t="s">
        <v>694</v>
      </c>
      <c r="F146" s="8" t="s">
        <v>366</v>
      </c>
      <c r="G146" s="8" t="s">
        <v>361</v>
      </c>
      <c r="H146" s="7" t="s">
        <v>685</v>
      </c>
      <c r="I146" s="10" t="s">
        <v>689</v>
      </c>
      <c r="J146" s="7" t="s">
        <v>41</v>
      </c>
    </row>
    <row r="147" ht="15.75" customHeight="1">
      <c r="A147" s="7">
        <v>126.0</v>
      </c>
      <c r="B147" s="7" t="s">
        <v>748</v>
      </c>
      <c r="C147" s="7">
        <v>9.0</v>
      </c>
      <c r="D147" s="8" t="s">
        <v>607</v>
      </c>
      <c r="E147" s="7" t="s">
        <v>694</v>
      </c>
      <c r="F147" s="8" t="s">
        <v>366</v>
      </c>
      <c r="G147" s="8" t="s">
        <v>366</v>
      </c>
      <c r="H147" s="7" t="s">
        <v>929</v>
      </c>
      <c r="I147" s="10" t="s">
        <v>931</v>
      </c>
      <c r="J147" s="7" t="s">
        <v>41</v>
      </c>
    </row>
    <row r="148" ht="15.75" customHeight="1">
      <c r="A148" s="7">
        <v>127.0</v>
      </c>
      <c r="B148" s="7" t="s">
        <v>748</v>
      </c>
      <c r="C148" s="7">
        <v>9.0</v>
      </c>
      <c r="D148" s="8" t="s">
        <v>607</v>
      </c>
      <c r="E148" s="7" t="s">
        <v>694</v>
      </c>
      <c r="F148" s="8" t="s">
        <v>366</v>
      </c>
      <c r="G148" s="8" t="s">
        <v>366</v>
      </c>
      <c r="H148" s="7" t="s">
        <v>934</v>
      </c>
      <c r="I148" s="10" t="s">
        <v>935</v>
      </c>
      <c r="J148" s="7" t="s">
        <v>41</v>
      </c>
    </row>
    <row r="149" ht="15.75" customHeight="1">
      <c r="A149" s="7">
        <v>128.0</v>
      </c>
      <c r="B149" s="7" t="s">
        <v>748</v>
      </c>
      <c r="C149" s="7">
        <v>9.0</v>
      </c>
      <c r="D149" s="8" t="s">
        <v>607</v>
      </c>
      <c r="E149" s="7" t="s">
        <v>694</v>
      </c>
      <c r="F149" s="8" t="s">
        <v>366</v>
      </c>
      <c r="G149" s="8" t="s">
        <v>366</v>
      </c>
      <c r="H149" s="7" t="s">
        <v>936</v>
      </c>
      <c r="I149" s="10" t="s">
        <v>937</v>
      </c>
      <c r="J149" s="7" t="s">
        <v>41</v>
      </c>
    </row>
    <row r="150" ht="15.75" customHeight="1">
      <c r="A150" s="7">
        <v>129.0</v>
      </c>
      <c r="B150" s="7" t="s">
        <v>748</v>
      </c>
      <c r="C150" s="7">
        <v>9.0</v>
      </c>
      <c r="D150" s="8" t="s">
        <v>607</v>
      </c>
      <c r="E150" s="7" t="s">
        <v>694</v>
      </c>
      <c r="F150" s="8" t="s">
        <v>366</v>
      </c>
      <c r="G150" s="8" t="s">
        <v>366</v>
      </c>
      <c r="H150" s="7" t="s">
        <v>941</v>
      </c>
      <c r="I150" s="10" t="s">
        <v>943</v>
      </c>
      <c r="J150" s="7" t="s">
        <v>41</v>
      </c>
    </row>
    <row r="151" ht="15.75" customHeight="1">
      <c r="A151" s="7">
        <v>130.0</v>
      </c>
      <c r="B151" s="7" t="s">
        <v>748</v>
      </c>
      <c r="C151" s="7">
        <v>9.0</v>
      </c>
      <c r="D151" s="8" t="s">
        <v>607</v>
      </c>
      <c r="E151" s="7" t="s">
        <v>694</v>
      </c>
      <c r="F151" s="8" t="s">
        <v>366</v>
      </c>
      <c r="G151" s="8" t="s">
        <v>366</v>
      </c>
      <c r="H151" s="7" t="s">
        <v>946</v>
      </c>
      <c r="I151" s="10" t="s">
        <v>947</v>
      </c>
      <c r="J151" s="7" t="s">
        <v>41</v>
      </c>
    </row>
    <row r="152" ht="15.75" customHeight="1">
      <c r="A152" s="7">
        <v>131.0</v>
      </c>
      <c r="B152" s="7" t="s">
        <v>748</v>
      </c>
      <c r="C152" s="7">
        <v>9.0</v>
      </c>
      <c r="D152" s="8" t="s">
        <v>607</v>
      </c>
      <c r="E152" s="7" t="s">
        <v>694</v>
      </c>
      <c r="F152" s="8" t="s">
        <v>366</v>
      </c>
      <c r="G152" s="8" t="s">
        <v>366</v>
      </c>
      <c r="H152" s="7" t="s">
        <v>950</v>
      </c>
      <c r="I152" s="10" t="s">
        <v>951</v>
      </c>
      <c r="J152" s="7" t="s">
        <v>41</v>
      </c>
    </row>
    <row r="153" ht="15.75" customHeight="1">
      <c r="A153" s="7">
        <v>132.0</v>
      </c>
      <c r="B153" s="7" t="s">
        <v>748</v>
      </c>
      <c r="C153" s="7">
        <v>9.0</v>
      </c>
      <c r="D153" s="8" t="s">
        <v>607</v>
      </c>
      <c r="E153" s="7" t="s">
        <v>694</v>
      </c>
      <c r="F153" s="8" t="s">
        <v>366</v>
      </c>
      <c r="G153" s="8" t="s">
        <v>366</v>
      </c>
      <c r="H153" s="7" t="s">
        <v>954</v>
      </c>
      <c r="I153" s="10" t="s">
        <v>955</v>
      </c>
      <c r="J153" s="7" t="s">
        <v>41</v>
      </c>
    </row>
    <row r="154" ht="15.75" customHeight="1">
      <c r="A154" s="7">
        <v>133.0</v>
      </c>
      <c r="B154" s="7" t="s">
        <v>748</v>
      </c>
      <c r="C154" s="7">
        <v>9.0</v>
      </c>
      <c r="D154" s="8" t="s">
        <v>607</v>
      </c>
      <c r="E154" s="7" t="s">
        <v>694</v>
      </c>
      <c r="F154" s="8" t="s">
        <v>366</v>
      </c>
      <c r="G154" s="8" t="s">
        <v>366</v>
      </c>
      <c r="H154" s="7" t="s">
        <v>958</v>
      </c>
      <c r="I154" s="10" t="s">
        <v>959</v>
      </c>
      <c r="J154" s="7" t="s">
        <v>41</v>
      </c>
    </row>
    <row r="155" ht="15.75" customHeight="1">
      <c r="A155" s="7">
        <v>134.0</v>
      </c>
      <c r="B155" s="7" t="s">
        <v>748</v>
      </c>
      <c r="C155" s="7">
        <v>9.0</v>
      </c>
      <c r="D155" s="8" t="s">
        <v>607</v>
      </c>
      <c r="E155" s="7" t="s">
        <v>694</v>
      </c>
      <c r="F155" s="8" t="s">
        <v>366</v>
      </c>
      <c r="G155" s="8" t="s">
        <v>366</v>
      </c>
      <c r="H155" s="7" t="s">
        <v>962</v>
      </c>
      <c r="I155" s="10" t="s">
        <v>611</v>
      </c>
      <c r="J155" s="7" t="s">
        <v>41</v>
      </c>
    </row>
    <row r="156" ht="15.75" customHeight="1">
      <c r="A156" s="7">
        <v>135.0</v>
      </c>
      <c r="B156" s="7" t="s">
        <v>748</v>
      </c>
      <c r="C156" s="7">
        <v>9.0</v>
      </c>
      <c r="D156" s="8" t="s">
        <v>607</v>
      </c>
      <c r="E156" s="7" t="s">
        <v>694</v>
      </c>
      <c r="F156" s="8" t="s">
        <v>366</v>
      </c>
      <c r="G156" s="8" t="s">
        <v>366</v>
      </c>
      <c r="H156" s="7" t="s">
        <v>967</v>
      </c>
      <c r="I156" s="10" t="s">
        <v>968</v>
      </c>
      <c r="J156" s="7" t="s">
        <v>41</v>
      </c>
    </row>
    <row r="157" ht="15.75" customHeight="1">
      <c r="A157" s="7">
        <v>136.0</v>
      </c>
      <c r="B157" s="7" t="s">
        <v>748</v>
      </c>
      <c r="C157" s="7">
        <v>9.0</v>
      </c>
      <c r="D157" s="8" t="s">
        <v>607</v>
      </c>
      <c r="E157" s="7" t="s">
        <v>694</v>
      </c>
      <c r="F157" s="8" t="s">
        <v>366</v>
      </c>
      <c r="G157" s="8" t="s">
        <v>364</v>
      </c>
      <c r="H157" s="7" t="s">
        <v>833</v>
      </c>
      <c r="I157" s="10" t="s">
        <v>835</v>
      </c>
      <c r="J157" s="7" t="s">
        <v>41</v>
      </c>
    </row>
    <row r="158" ht="15.75" customHeight="1">
      <c r="A158" s="7">
        <v>137.0</v>
      </c>
      <c r="B158" s="7" t="s">
        <v>748</v>
      </c>
      <c r="C158" s="7">
        <v>9.0</v>
      </c>
      <c r="D158" s="8" t="s">
        <v>607</v>
      </c>
      <c r="E158" s="7" t="s">
        <v>709</v>
      </c>
      <c r="F158" s="8" t="s">
        <v>860</v>
      </c>
      <c r="G158" s="8" t="s">
        <v>361</v>
      </c>
      <c r="H158" s="7" t="s">
        <v>701</v>
      </c>
      <c r="I158" s="10" t="s">
        <v>703</v>
      </c>
      <c r="J158" s="7" t="s">
        <v>41</v>
      </c>
    </row>
    <row r="159" ht="15.75" customHeight="1">
      <c r="A159" s="7">
        <v>138.0</v>
      </c>
      <c r="B159" s="7" t="s">
        <v>748</v>
      </c>
      <c r="C159" s="7">
        <v>10.0</v>
      </c>
      <c r="D159" s="8" t="s">
        <v>631</v>
      </c>
      <c r="E159" s="7" t="s">
        <v>841</v>
      </c>
      <c r="F159" s="8" t="s">
        <v>668</v>
      </c>
      <c r="G159" s="8" t="s">
        <v>364</v>
      </c>
      <c r="H159" s="7" t="s">
        <v>838</v>
      </c>
      <c r="I159" s="10" t="s">
        <v>839</v>
      </c>
      <c r="J159" s="7" t="s">
        <v>41</v>
      </c>
    </row>
    <row r="160" ht="15.75" customHeight="1">
      <c r="A160" s="7">
        <v>139.0</v>
      </c>
      <c r="B160" s="7" t="s">
        <v>748</v>
      </c>
      <c r="C160" s="7">
        <v>11.0</v>
      </c>
      <c r="D160" s="8" t="s">
        <v>676</v>
      </c>
      <c r="E160" s="7" t="s">
        <v>845</v>
      </c>
      <c r="F160" s="8" t="s">
        <v>678</v>
      </c>
      <c r="G160" s="8" t="s">
        <v>368</v>
      </c>
      <c r="H160" s="7" t="s">
        <v>1050</v>
      </c>
      <c r="I160" s="10" t="s">
        <v>844</v>
      </c>
      <c r="J160" s="7" t="s">
        <v>41</v>
      </c>
    </row>
    <row r="161" ht="15.75" customHeight="1">
      <c r="A161" s="7">
        <v>140.0</v>
      </c>
      <c r="B161" s="7" t="s">
        <v>748</v>
      </c>
      <c r="C161" s="7">
        <v>11.0</v>
      </c>
      <c r="D161" s="8" t="s">
        <v>676</v>
      </c>
      <c r="E161" s="7" t="s">
        <v>845</v>
      </c>
      <c r="F161" s="8" t="s">
        <v>678</v>
      </c>
      <c r="G161" s="8" t="s">
        <v>364</v>
      </c>
      <c r="H161" s="7" t="s">
        <v>842</v>
      </c>
      <c r="I161" s="10" t="s">
        <v>844</v>
      </c>
      <c r="J161" s="7" t="s">
        <v>41</v>
      </c>
    </row>
    <row r="162" ht="15.75" customHeight="1">
      <c r="A162" s="7">
        <v>141.0</v>
      </c>
      <c r="B162" s="7" t="s">
        <v>748</v>
      </c>
      <c r="C162" s="7">
        <v>12.0</v>
      </c>
      <c r="D162" s="8" t="s">
        <v>367</v>
      </c>
      <c r="E162" s="7" t="s">
        <v>884</v>
      </c>
      <c r="F162" s="8" t="s">
        <v>697</v>
      </c>
      <c r="G162" s="8" t="s">
        <v>367</v>
      </c>
      <c r="H162" s="7" t="s">
        <v>702</v>
      </c>
      <c r="I162" s="10" t="s">
        <v>974</v>
      </c>
      <c r="J162" s="7" t="s">
        <v>41</v>
      </c>
    </row>
    <row r="163" ht="15.75" customHeight="1">
      <c r="A163" s="7">
        <v>142.0</v>
      </c>
      <c r="B163" s="7" t="s">
        <v>748</v>
      </c>
      <c r="C163" s="7">
        <v>12.0</v>
      </c>
      <c r="D163" s="8" t="s">
        <v>367</v>
      </c>
      <c r="E163" s="7" t="s">
        <v>889</v>
      </c>
      <c r="F163" s="8" t="s">
        <v>707</v>
      </c>
      <c r="G163" s="8" t="s">
        <v>367</v>
      </c>
      <c r="H163" s="7" t="s">
        <v>977</v>
      </c>
      <c r="I163" s="10" t="s">
        <v>978</v>
      </c>
      <c r="J163" s="7" t="s">
        <v>41</v>
      </c>
    </row>
    <row r="164" ht="15.75" customHeight="1">
      <c r="A164" s="7">
        <v>143.0</v>
      </c>
      <c r="B164" s="7" t="s">
        <v>748</v>
      </c>
      <c r="C164" s="7">
        <v>12.0</v>
      </c>
      <c r="D164" s="8" t="s">
        <v>367</v>
      </c>
      <c r="E164" s="7" t="s">
        <v>889</v>
      </c>
      <c r="F164" s="8" t="s">
        <v>707</v>
      </c>
      <c r="G164" s="8" t="s">
        <v>367</v>
      </c>
      <c r="H164" s="7" t="s">
        <v>984</v>
      </c>
      <c r="I164" s="10" t="s">
        <v>985</v>
      </c>
      <c r="J164" s="7" t="s">
        <v>442</v>
      </c>
    </row>
    <row r="165" ht="15.75" customHeight="1">
      <c r="A165" s="7">
        <v>144.0</v>
      </c>
      <c r="B165" s="7" t="s">
        <v>748</v>
      </c>
      <c r="C165" s="7">
        <v>12.0</v>
      </c>
      <c r="D165" s="8" t="s">
        <v>367</v>
      </c>
      <c r="E165" s="7" t="s">
        <v>889</v>
      </c>
      <c r="F165" s="8" t="s">
        <v>707</v>
      </c>
      <c r="G165" s="8" t="s">
        <v>367</v>
      </c>
      <c r="H165" s="7" t="s">
        <v>989</v>
      </c>
      <c r="I165" s="10" t="s">
        <v>990</v>
      </c>
      <c r="J165" s="7" t="s">
        <v>41</v>
      </c>
    </row>
    <row r="166" ht="15.75" customHeight="1">
      <c r="A166" s="7">
        <v>145.0</v>
      </c>
      <c r="B166" s="7" t="s">
        <v>748</v>
      </c>
      <c r="C166" s="7">
        <v>12.0</v>
      </c>
      <c r="D166" s="8" t="s">
        <v>367</v>
      </c>
      <c r="E166" s="7" t="s">
        <v>889</v>
      </c>
      <c r="F166" s="8" t="s">
        <v>707</v>
      </c>
      <c r="G166" s="8" t="s">
        <v>367</v>
      </c>
      <c r="H166" s="7" t="s">
        <v>992</v>
      </c>
      <c r="I166" s="10" t="s">
        <v>993</v>
      </c>
      <c r="J166" s="7" t="s">
        <v>41</v>
      </c>
    </row>
    <row r="167" ht="15.75" customHeight="1">
      <c r="A167" s="7">
        <v>146.0</v>
      </c>
      <c r="B167" s="7" t="s">
        <v>748</v>
      </c>
      <c r="C167" s="7">
        <v>12.0</v>
      </c>
      <c r="D167" s="8" t="s">
        <v>367</v>
      </c>
      <c r="E167" s="7" t="s">
        <v>889</v>
      </c>
      <c r="F167" s="8" t="s">
        <v>707</v>
      </c>
      <c r="G167" s="8" t="s">
        <v>367</v>
      </c>
      <c r="H167" s="7" t="s">
        <v>1000</v>
      </c>
      <c r="I167" s="10" t="s">
        <v>1001</v>
      </c>
      <c r="J167" s="7" t="s">
        <v>41</v>
      </c>
    </row>
    <row r="168" ht="15.75" customHeight="1">
      <c r="A168" s="7">
        <v>147.0</v>
      </c>
      <c r="B168" s="7" t="s">
        <v>748</v>
      </c>
      <c r="C168" s="7">
        <v>12.0</v>
      </c>
      <c r="D168" s="8" t="s">
        <v>367</v>
      </c>
      <c r="E168" s="7" t="s">
        <v>889</v>
      </c>
      <c r="F168" s="8" t="s">
        <v>707</v>
      </c>
      <c r="G168" s="8" t="s">
        <v>367</v>
      </c>
      <c r="H168" s="7" t="s">
        <v>1005</v>
      </c>
      <c r="I168" s="10" t="s">
        <v>1006</v>
      </c>
      <c r="J168" s="7" t="s">
        <v>442</v>
      </c>
    </row>
    <row r="169" ht="15.75" customHeight="1">
      <c r="A169" s="7">
        <v>148.0</v>
      </c>
      <c r="B169" s="7" t="s">
        <v>748</v>
      </c>
      <c r="C169" s="7">
        <v>12.0</v>
      </c>
      <c r="D169" s="8" t="s">
        <v>367</v>
      </c>
      <c r="E169" s="7" t="s">
        <v>889</v>
      </c>
      <c r="F169" s="8" t="s">
        <v>707</v>
      </c>
      <c r="G169" s="8" t="s">
        <v>367</v>
      </c>
      <c r="H169" s="7" t="s">
        <v>1012</v>
      </c>
      <c r="I169" s="10" t="s">
        <v>1013</v>
      </c>
      <c r="J169" s="7" t="s">
        <v>41</v>
      </c>
    </row>
    <row r="170" ht="15.75" customHeight="1">
      <c r="A170" s="7">
        <v>149.0</v>
      </c>
      <c r="B170" s="7" t="s">
        <v>748</v>
      </c>
      <c r="C170" s="7">
        <v>12.0</v>
      </c>
      <c r="D170" s="8" t="s">
        <v>367</v>
      </c>
      <c r="E170" s="7" t="s">
        <v>889</v>
      </c>
      <c r="F170" s="8" t="s">
        <v>707</v>
      </c>
      <c r="G170" s="8" t="s">
        <v>367</v>
      </c>
      <c r="H170" s="7" t="s">
        <v>1016</v>
      </c>
      <c r="I170" s="10" t="s">
        <v>1017</v>
      </c>
      <c r="J170" s="7" t="s">
        <v>41</v>
      </c>
    </row>
    <row r="171" ht="15.75" customHeight="1">
      <c r="A171" s="7">
        <v>150.0</v>
      </c>
      <c r="B171" s="7" t="s">
        <v>748</v>
      </c>
      <c r="C171" s="7">
        <v>12.0</v>
      </c>
      <c r="D171" s="8" t="s">
        <v>367</v>
      </c>
      <c r="E171" s="7" t="s">
        <v>889</v>
      </c>
      <c r="F171" s="8" t="s">
        <v>707</v>
      </c>
      <c r="G171" s="8" t="s">
        <v>367</v>
      </c>
      <c r="H171" s="7" t="s">
        <v>1021</v>
      </c>
      <c r="I171" s="10" t="s">
        <v>1023</v>
      </c>
      <c r="J171" s="7" t="s">
        <v>41</v>
      </c>
    </row>
    <row r="172" ht="15.75" customHeight="1">
      <c r="A172" s="7">
        <v>151.0</v>
      </c>
      <c r="B172" s="7" t="s">
        <v>748</v>
      </c>
      <c r="C172" s="7">
        <v>12.0</v>
      </c>
      <c r="D172" s="8" t="s">
        <v>367</v>
      </c>
      <c r="E172" s="7" t="s">
        <v>889</v>
      </c>
      <c r="F172" s="8" t="s">
        <v>707</v>
      </c>
      <c r="G172" s="8" t="s">
        <v>367</v>
      </c>
      <c r="H172" s="7" t="s">
        <v>1026</v>
      </c>
      <c r="I172" s="10" t="s">
        <v>1027</v>
      </c>
      <c r="J172" s="7" t="s">
        <v>41</v>
      </c>
    </row>
    <row r="173" ht="15.75" customHeight="1">
      <c r="A173" s="7">
        <v>152.0</v>
      </c>
      <c r="B173" s="7" t="s">
        <v>748</v>
      </c>
      <c r="C173" s="7">
        <v>12.0</v>
      </c>
      <c r="D173" s="8" t="s">
        <v>367</v>
      </c>
      <c r="E173" s="7" t="s">
        <v>889</v>
      </c>
      <c r="F173" s="8" t="s">
        <v>707</v>
      </c>
      <c r="G173" s="8" t="s">
        <v>367</v>
      </c>
      <c r="H173" s="7" t="s">
        <v>1030</v>
      </c>
      <c r="I173" s="10" t="s">
        <v>1032</v>
      </c>
      <c r="J173" s="7" t="s">
        <v>41</v>
      </c>
    </row>
    <row r="174" ht="15.75" customHeight="1">
      <c r="A174" s="7">
        <v>153.0</v>
      </c>
      <c r="B174" s="7" t="s">
        <v>748</v>
      </c>
      <c r="C174" s="7">
        <v>12.0</v>
      </c>
      <c r="D174" s="8" t="s">
        <v>367</v>
      </c>
      <c r="E174" s="7" t="s">
        <v>889</v>
      </c>
      <c r="F174" s="8" t="s">
        <v>707</v>
      </c>
      <c r="G174" s="8" t="s">
        <v>367</v>
      </c>
      <c r="H174" s="7" t="s">
        <v>1034</v>
      </c>
      <c r="I174" s="10" t="s">
        <v>1035</v>
      </c>
      <c r="J174" s="7" t="s">
        <v>41</v>
      </c>
    </row>
    <row r="175" ht="15.75" customHeight="1">
      <c r="A175" s="7">
        <v>154.0</v>
      </c>
      <c r="B175" s="7" t="s">
        <v>748</v>
      </c>
      <c r="C175" s="7">
        <v>12.0</v>
      </c>
      <c r="D175" s="8" t="s">
        <v>367</v>
      </c>
      <c r="E175" s="7" t="s">
        <v>889</v>
      </c>
      <c r="F175" s="8" t="s">
        <v>707</v>
      </c>
      <c r="G175" s="8" t="s">
        <v>367</v>
      </c>
      <c r="H175" s="7" t="s">
        <v>1039</v>
      </c>
      <c r="I175" s="10" t="s">
        <v>1040</v>
      </c>
      <c r="J175" s="7" t="s">
        <v>41</v>
      </c>
    </row>
    <row r="176" ht="15.75" customHeight="1">
      <c r="A176" s="7">
        <v>155.0</v>
      </c>
      <c r="B176" s="7" t="s">
        <v>748</v>
      </c>
      <c r="C176" s="7">
        <v>12.0</v>
      </c>
      <c r="D176" s="8" t="s">
        <v>367</v>
      </c>
      <c r="E176" s="7" t="s">
        <v>889</v>
      </c>
      <c r="F176" s="8" t="s">
        <v>707</v>
      </c>
      <c r="G176" s="8" t="s">
        <v>367</v>
      </c>
      <c r="H176" s="7" t="s">
        <v>1045</v>
      </c>
      <c r="I176" s="10" t="s">
        <v>1046</v>
      </c>
      <c r="J176" s="7" t="s">
        <v>41</v>
      </c>
    </row>
    <row r="177" ht="15.75" customHeight="1">
      <c r="A177" s="7">
        <v>156.0</v>
      </c>
      <c r="B177" s="7" t="s">
        <v>748</v>
      </c>
      <c r="C177" s="7">
        <v>12.0</v>
      </c>
      <c r="D177" s="8" t="s">
        <v>367</v>
      </c>
      <c r="E177" s="7" t="s">
        <v>889</v>
      </c>
      <c r="F177" s="8" t="s">
        <v>707</v>
      </c>
      <c r="G177" s="8" t="s">
        <v>368</v>
      </c>
      <c r="H177" s="7" t="s">
        <v>1061</v>
      </c>
      <c r="I177" s="10" t="s">
        <v>1063</v>
      </c>
      <c r="J177" s="7" t="s">
        <v>442</v>
      </c>
    </row>
    <row r="178" ht="15.75" customHeight="1">
      <c r="A178" s="7">
        <v>157.0</v>
      </c>
      <c r="B178" s="7" t="s">
        <v>748</v>
      </c>
      <c r="C178" s="7">
        <v>13.0</v>
      </c>
      <c r="D178" s="8" t="s">
        <v>717</v>
      </c>
      <c r="E178" s="7" t="s">
        <v>895</v>
      </c>
      <c r="F178" s="8" t="s">
        <v>720</v>
      </c>
      <c r="G178" s="8" t="s">
        <v>368</v>
      </c>
      <c r="H178" s="7" t="s">
        <v>723</v>
      </c>
      <c r="I178" s="10" t="s">
        <v>1072</v>
      </c>
      <c r="J178" s="7" t="s">
        <v>41</v>
      </c>
    </row>
    <row r="179" ht="15.75" customHeight="1">
      <c r="A179" s="7">
        <v>158.0</v>
      </c>
      <c r="B179" s="7" t="s">
        <v>748</v>
      </c>
      <c r="C179" s="7">
        <v>13.0</v>
      </c>
      <c r="D179" s="8" t="s">
        <v>717</v>
      </c>
      <c r="E179" s="7" t="s">
        <v>905</v>
      </c>
      <c r="F179" s="8" t="s">
        <v>726</v>
      </c>
      <c r="G179" s="8" t="s">
        <v>368</v>
      </c>
      <c r="H179" s="7" t="s">
        <v>1052</v>
      </c>
      <c r="I179" s="10" t="s">
        <v>1053</v>
      </c>
      <c r="J179" s="7" t="s">
        <v>41</v>
      </c>
    </row>
    <row r="180" ht="15.75" customHeight="1">
      <c r="A180" s="7">
        <v>159.0</v>
      </c>
      <c r="B180" s="7" t="s">
        <v>748</v>
      </c>
      <c r="C180" s="7">
        <v>13.0</v>
      </c>
      <c r="D180" s="8" t="s">
        <v>717</v>
      </c>
      <c r="E180" s="7" t="s">
        <v>905</v>
      </c>
      <c r="F180" s="8" t="s">
        <v>726</v>
      </c>
      <c r="G180" s="8" t="s">
        <v>368</v>
      </c>
      <c r="H180" s="7" t="s">
        <v>1067</v>
      </c>
      <c r="I180" s="10" t="s">
        <v>1069</v>
      </c>
      <c r="J180" s="7" t="s">
        <v>41</v>
      </c>
    </row>
    <row r="181" ht="15.75" customHeight="1">
      <c r="A181" s="7">
        <v>160.0</v>
      </c>
      <c r="B181" s="7" t="s">
        <v>748</v>
      </c>
      <c r="C181" s="7">
        <v>13.0</v>
      </c>
      <c r="D181" s="8" t="s">
        <v>717</v>
      </c>
      <c r="E181" s="7" t="s">
        <v>905</v>
      </c>
      <c r="F181" s="8" t="s">
        <v>726</v>
      </c>
      <c r="G181" s="8" t="s">
        <v>368</v>
      </c>
      <c r="H181" s="7" t="s">
        <v>1074</v>
      </c>
      <c r="I181" s="10" t="s">
        <v>1075</v>
      </c>
      <c r="J181" s="7" t="s">
        <v>41</v>
      </c>
    </row>
    <row r="182" ht="15.75" customHeight="1">
      <c r="A182" s="7">
        <v>161.0</v>
      </c>
      <c r="B182" s="7" t="s">
        <v>748</v>
      </c>
      <c r="C182" s="7">
        <v>13.0</v>
      </c>
      <c r="D182" s="8" t="s">
        <v>717</v>
      </c>
      <c r="E182" s="7" t="s">
        <v>905</v>
      </c>
      <c r="F182" s="8" t="s">
        <v>726</v>
      </c>
      <c r="G182" s="8" t="s">
        <v>368</v>
      </c>
      <c r="H182" s="7" t="s">
        <v>1078</v>
      </c>
      <c r="I182" s="10" t="s">
        <v>1079</v>
      </c>
      <c r="J182" s="7" t="s">
        <v>41</v>
      </c>
    </row>
    <row r="183" ht="15.75" customHeight="1">
      <c r="A183" s="7">
        <v>162.0</v>
      </c>
      <c r="B183" s="7" t="s">
        <v>748</v>
      </c>
      <c r="C183" s="7">
        <v>13.0</v>
      </c>
      <c r="D183" s="8" t="s">
        <v>717</v>
      </c>
      <c r="E183" s="7" t="s">
        <v>905</v>
      </c>
      <c r="F183" s="8" t="s">
        <v>726</v>
      </c>
      <c r="G183" s="8" t="s">
        <v>368</v>
      </c>
      <c r="H183" s="7" t="s">
        <v>1082</v>
      </c>
      <c r="I183" s="10" t="s">
        <v>1083</v>
      </c>
      <c r="J183" s="7" t="s">
        <v>41</v>
      </c>
    </row>
    <row r="184" ht="15.75" customHeight="1">
      <c r="A184" s="7">
        <v>163.0</v>
      </c>
      <c r="B184" s="7" t="s">
        <v>748</v>
      </c>
      <c r="C184" s="7">
        <v>13.0</v>
      </c>
      <c r="D184" s="8" t="s">
        <v>717</v>
      </c>
      <c r="E184" s="7" t="s">
        <v>905</v>
      </c>
      <c r="F184" s="8" t="s">
        <v>726</v>
      </c>
      <c r="G184" s="8" t="s">
        <v>368</v>
      </c>
      <c r="H184" s="7" t="s">
        <v>1084</v>
      </c>
      <c r="I184" s="10" t="s">
        <v>1085</v>
      </c>
      <c r="J184" s="7" t="s">
        <v>41</v>
      </c>
    </row>
    <row r="185" ht="15.75" customHeight="1">
      <c r="A185" s="7">
        <v>164.0</v>
      </c>
      <c r="B185" s="7" t="s">
        <v>748</v>
      </c>
      <c r="C185" s="7">
        <v>13.0</v>
      </c>
      <c r="D185" s="8" t="s">
        <v>717</v>
      </c>
      <c r="E185" s="7" t="s">
        <v>905</v>
      </c>
      <c r="F185" s="8" t="s">
        <v>726</v>
      </c>
      <c r="G185" s="8" t="s">
        <v>368</v>
      </c>
      <c r="H185" s="7" t="s">
        <v>1086</v>
      </c>
      <c r="I185" s="10" t="s">
        <v>1088</v>
      </c>
      <c r="J185" s="7" t="s">
        <v>41</v>
      </c>
    </row>
    <row r="186" ht="15.75" customHeight="1">
      <c r="A186" s="7">
        <v>165.0</v>
      </c>
      <c r="B186" s="7" t="s">
        <v>748</v>
      </c>
      <c r="C186" s="7">
        <v>13.0</v>
      </c>
      <c r="D186" s="8" t="s">
        <v>717</v>
      </c>
      <c r="E186" s="7" t="s">
        <v>910</v>
      </c>
      <c r="F186" s="8" t="s">
        <v>733</v>
      </c>
      <c r="G186" s="8" t="s">
        <v>368</v>
      </c>
      <c r="H186" s="7" t="s">
        <v>1091</v>
      </c>
      <c r="I186" s="10" t="s">
        <v>1092</v>
      </c>
      <c r="J186" s="7" t="s">
        <v>442</v>
      </c>
    </row>
    <row r="187" ht="15.75" customHeight="1">
      <c r="A187" s="7">
        <v>166.0</v>
      </c>
      <c r="B187" s="7" t="s">
        <v>748</v>
      </c>
      <c r="C187" s="7">
        <v>13.0</v>
      </c>
      <c r="D187" s="8" t="s">
        <v>717</v>
      </c>
      <c r="E187" s="7" t="s">
        <v>910</v>
      </c>
      <c r="F187" s="8" t="s">
        <v>733</v>
      </c>
      <c r="G187" s="8" t="s">
        <v>368</v>
      </c>
      <c r="H187" s="7" t="s">
        <v>1094</v>
      </c>
      <c r="I187" s="10" t="s">
        <v>1095</v>
      </c>
      <c r="J187" s="7" t="s">
        <v>442</v>
      </c>
    </row>
    <row r="188" ht="15.75" customHeight="1">
      <c r="A188" s="7">
        <v>167.0</v>
      </c>
      <c r="B188" s="7" t="s">
        <v>748</v>
      </c>
      <c r="C188" s="7">
        <v>13.0</v>
      </c>
      <c r="D188" s="8" t="s">
        <v>717</v>
      </c>
      <c r="E188" s="7" t="s">
        <v>910</v>
      </c>
      <c r="F188" s="8" t="s">
        <v>733</v>
      </c>
      <c r="G188" s="8" t="s">
        <v>368</v>
      </c>
      <c r="H188" s="7" t="s">
        <v>1097</v>
      </c>
      <c r="I188" s="10" t="s">
        <v>959</v>
      </c>
      <c r="J188" s="7" t="s">
        <v>41</v>
      </c>
    </row>
    <row r="189" ht="15.75" customHeight="1">
      <c r="A189" s="7">
        <v>168.0</v>
      </c>
      <c r="B189" s="7" t="s">
        <v>748</v>
      </c>
      <c r="C189" s="7">
        <v>13.0</v>
      </c>
      <c r="D189" s="8" t="s">
        <v>717</v>
      </c>
      <c r="E189" s="7" t="s">
        <v>910</v>
      </c>
      <c r="F189" s="8" t="s">
        <v>733</v>
      </c>
      <c r="G189" s="8" t="s">
        <v>368</v>
      </c>
      <c r="H189" s="7" t="s">
        <v>1099</v>
      </c>
      <c r="I189" s="10" t="s">
        <v>1100</v>
      </c>
      <c r="J189" s="7" t="s">
        <v>41</v>
      </c>
    </row>
    <row r="190" ht="15.75" customHeight="1">
      <c r="A190" s="7">
        <v>169.0</v>
      </c>
      <c r="B190" s="7" t="s">
        <v>748</v>
      </c>
      <c r="C190" s="7">
        <v>13.0</v>
      </c>
      <c r="D190" s="8" t="s">
        <v>717</v>
      </c>
      <c r="E190" s="7" t="s">
        <v>910</v>
      </c>
      <c r="F190" s="8" t="s">
        <v>733</v>
      </c>
      <c r="G190" s="8" t="s">
        <v>368</v>
      </c>
      <c r="H190" s="7" t="s">
        <v>1101</v>
      </c>
      <c r="I190" s="10" t="s">
        <v>1102</v>
      </c>
      <c r="J190" s="7" t="s">
        <v>41</v>
      </c>
    </row>
    <row r="191" ht="15.75" customHeight="1">
      <c r="A191" s="7">
        <v>170.0</v>
      </c>
      <c r="B191" s="7" t="s">
        <v>748</v>
      </c>
      <c r="C191" s="7">
        <v>13.0</v>
      </c>
      <c r="D191" s="8" t="s">
        <v>717</v>
      </c>
      <c r="E191" s="7" t="s">
        <v>912</v>
      </c>
      <c r="F191" s="8" t="s">
        <v>743</v>
      </c>
      <c r="G191" s="8" t="s">
        <v>368</v>
      </c>
      <c r="H191" s="7" t="s">
        <v>747</v>
      </c>
      <c r="I191" s="10" t="s">
        <v>1104</v>
      </c>
      <c r="J191" s="7" t="s">
        <v>41</v>
      </c>
    </row>
    <row r="192" ht="15.75" customHeight="1">
      <c r="A192" s="7">
        <v>171.0</v>
      </c>
      <c r="B192" s="7" t="s">
        <v>849</v>
      </c>
      <c r="C192" s="7">
        <v>1.0</v>
      </c>
      <c r="D192" s="8" t="s">
        <v>167</v>
      </c>
      <c r="E192" s="7" t="s">
        <v>384</v>
      </c>
      <c r="F192" s="8" t="s">
        <v>171</v>
      </c>
      <c r="G192" s="8" t="s">
        <v>360</v>
      </c>
      <c r="H192" s="7" t="s">
        <v>379</v>
      </c>
      <c r="I192" s="10" t="s">
        <v>380</v>
      </c>
      <c r="J192" s="7" t="s">
        <v>41</v>
      </c>
    </row>
    <row r="193" ht="15.75" customHeight="1">
      <c r="A193" s="7">
        <v>172.0</v>
      </c>
      <c r="B193" s="7" t="s">
        <v>849</v>
      </c>
      <c r="C193" s="7">
        <v>1.0</v>
      </c>
      <c r="D193" s="8" t="s">
        <v>167</v>
      </c>
      <c r="E193" s="7" t="s">
        <v>384</v>
      </c>
      <c r="F193" s="8" t="s">
        <v>171</v>
      </c>
      <c r="G193" s="8" t="s">
        <v>360</v>
      </c>
      <c r="H193" s="7" t="s">
        <v>393</v>
      </c>
      <c r="I193" s="10" t="s">
        <v>394</v>
      </c>
      <c r="J193" s="7" t="s">
        <v>41</v>
      </c>
    </row>
    <row r="194" ht="15.75" customHeight="1">
      <c r="A194" s="7">
        <v>173.0</v>
      </c>
      <c r="B194" s="7" t="s">
        <v>849</v>
      </c>
      <c r="C194" s="7">
        <v>1.0</v>
      </c>
      <c r="D194" s="8" t="s">
        <v>167</v>
      </c>
      <c r="E194" s="7" t="s">
        <v>404</v>
      </c>
      <c r="F194" s="8" t="s">
        <v>251</v>
      </c>
      <c r="G194" s="8" t="s">
        <v>360</v>
      </c>
      <c r="H194" s="7" t="s">
        <v>255</v>
      </c>
      <c r="I194" s="10" t="s">
        <v>398</v>
      </c>
      <c r="J194" s="7" t="s">
        <v>41</v>
      </c>
    </row>
    <row r="195" ht="15.75" customHeight="1">
      <c r="A195" s="7">
        <v>174.0</v>
      </c>
      <c r="B195" s="7" t="s">
        <v>849</v>
      </c>
      <c r="C195" s="7">
        <v>1.0</v>
      </c>
      <c r="D195" s="8" t="s">
        <v>167</v>
      </c>
      <c r="E195" s="7" t="s">
        <v>410</v>
      </c>
      <c r="F195" s="8" t="s">
        <v>260</v>
      </c>
      <c r="G195" s="8" t="s">
        <v>360</v>
      </c>
      <c r="H195" s="7" t="s">
        <v>405</v>
      </c>
      <c r="I195" s="10" t="s">
        <v>406</v>
      </c>
      <c r="J195" s="7" t="s">
        <v>41</v>
      </c>
    </row>
    <row r="196" ht="15.75" customHeight="1">
      <c r="A196" s="7">
        <v>175.0</v>
      </c>
      <c r="B196" s="7" t="s">
        <v>849</v>
      </c>
      <c r="C196" s="7">
        <v>1.0</v>
      </c>
      <c r="D196" s="8" t="s">
        <v>167</v>
      </c>
      <c r="E196" s="7" t="s">
        <v>410</v>
      </c>
      <c r="F196" s="8" t="s">
        <v>260</v>
      </c>
      <c r="G196" s="8" t="s">
        <v>361</v>
      </c>
      <c r="H196" s="7" t="s">
        <v>565</v>
      </c>
      <c r="I196" s="10" t="s">
        <v>566</v>
      </c>
      <c r="J196" s="7" t="s">
        <v>41</v>
      </c>
    </row>
    <row r="197" ht="15.75" customHeight="1">
      <c r="A197" s="7">
        <v>176.0</v>
      </c>
      <c r="B197" s="7" t="s">
        <v>849</v>
      </c>
      <c r="C197" s="7">
        <v>2.0</v>
      </c>
      <c r="D197" s="8" t="s">
        <v>282</v>
      </c>
      <c r="E197" s="7" t="s">
        <v>392</v>
      </c>
      <c r="F197" s="8" t="s">
        <v>284</v>
      </c>
      <c r="G197" s="8" t="s">
        <v>360</v>
      </c>
      <c r="H197" s="7" t="s">
        <v>385</v>
      </c>
      <c r="I197" s="10" t="s">
        <v>386</v>
      </c>
      <c r="J197" s="7" t="s">
        <v>41</v>
      </c>
    </row>
    <row r="198" ht="15.75" customHeight="1">
      <c r="A198" s="7">
        <v>177.0</v>
      </c>
      <c r="B198" s="7" t="s">
        <v>849</v>
      </c>
      <c r="C198" s="7">
        <v>2.0</v>
      </c>
      <c r="D198" s="8" t="s">
        <v>282</v>
      </c>
      <c r="E198" s="7" t="s">
        <v>392</v>
      </c>
      <c r="F198" s="8" t="s">
        <v>284</v>
      </c>
      <c r="G198" s="8" t="s">
        <v>360</v>
      </c>
      <c r="H198" s="7" t="s">
        <v>428</v>
      </c>
      <c r="I198" s="10" t="s">
        <v>430</v>
      </c>
      <c r="J198" s="7" t="s">
        <v>41</v>
      </c>
    </row>
    <row r="199" ht="15.75" customHeight="1">
      <c r="A199" s="7">
        <v>178.0</v>
      </c>
      <c r="B199" s="7" t="s">
        <v>849</v>
      </c>
      <c r="C199" s="7">
        <v>2.0</v>
      </c>
      <c r="D199" s="8" t="s">
        <v>282</v>
      </c>
      <c r="E199" s="7" t="s">
        <v>392</v>
      </c>
      <c r="F199" s="8" t="s">
        <v>284</v>
      </c>
      <c r="G199" s="8" t="s">
        <v>360</v>
      </c>
      <c r="H199" s="7" t="s">
        <v>437</v>
      </c>
      <c r="I199" s="10" t="s">
        <v>439</v>
      </c>
      <c r="J199" s="7" t="s">
        <v>442</v>
      </c>
    </row>
    <row r="200" ht="15.75" customHeight="1">
      <c r="A200" s="7">
        <v>179.0</v>
      </c>
      <c r="B200" s="7" t="s">
        <v>849</v>
      </c>
      <c r="C200" s="7">
        <v>2.0</v>
      </c>
      <c r="D200" s="8" t="s">
        <v>282</v>
      </c>
      <c r="E200" s="7" t="s">
        <v>854</v>
      </c>
      <c r="F200" s="8" t="s">
        <v>767</v>
      </c>
      <c r="G200" s="8" t="s">
        <v>365</v>
      </c>
      <c r="H200" s="7" t="s">
        <v>848</v>
      </c>
      <c r="I200" s="10" t="s">
        <v>850</v>
      </c>
      <c r="J200" s="7" t="s">
        <v>41</v>
      </c>
    </row>
    <row r="201" ht="15.75" customHeight="1">
      <c r="A201" s="7">
        <v>180.0</v>
      </c>
      <c r="B201" s="7" t="s">
        <v>849</v>
      </c>
      <c r="C201" s="7">
        <v>3.0</v>
      </c>
      <c r="D201" s="8" t="s">
        <v>777</v>
      </c>
      <c r="E201" s="7" t="s">
        <v>378</v>
      </c>
      <c r="F201" s="8" t="s">
        <v>778</v>
      </c>
      <c r="G201" s="8" t="s">
        <v>360</v>
      </c>
      <c r="H201" s="7" t="s">
        <v>362</v>
      </c>
      <c r="I201" s="10" t="s">
        <v>371</v>
      </c>
      <c r="J201" s="7" t="s">
        <v>41</v>
      </c>
    </row>
    <row r="202" ht="15.75" customHeight="1">
      <c r="A202" s="7">
        <v>181.0</v>
      </c>
      <c r="B202" s="7" t="s">
        <v>849</v>
      </c>
      <c r="C202" s="7">
        <v>3.0</v>
      </c>
      <c r="D202" s="8" t="s">
        <v>777</v>
      </c>
      <c r="E202" s="7" t="s">
        <v>378</v>
      </c>
      <c r="F202" s="8" t="s">
        <v>778</v>
      </c>
      <c r="G202" s="8" t="s">
        <v>360</v>
      </c>
      <c r="H202" s="7" t="s">
        <v>472</v>
      </c>
      <c r="I202" s="10" t="s">
        <v>474</v>
      </c>
      <c r="J202" s="7" t="s">
        <v>41</v>
      </c>
    </row>
    <row r="203" ht="15.75" customHeight="1">
      <c r="A203" s="7">
        <v>182.0</v>
      </c>
      <c r="B203" s="7" t="s">
        <v>849</v>
      </c>
      <c r="C203" s="7">
        <v>3.0</v>
      </c>
      <c r="D203" s="8" t="s">
        <v>777</v>
      </c>
      <c r="E203" s="7" t="s">
        <v>378</v>
      </c>
      <c r="F203" s="8" t="s">
        <v>778</v>
      </c>
      <c r="G203" s="8" t="s">
        <v>360</v>
      </c>
      <c r="H203" s="7" t="s">
        <v>480</v>
      </c>
      <c r="I203" s="10" t="s">
        <v>481</v>
      </c>
      <c r="J203" s="7" t="s">
        <v>41</v>
      </c>
    </row>
    <row r="204" ht="15.75" customHeight="1">
      <c r="A204" s="7">
        <v>183.0</v>
      </c>
      <c r="B204" s="7" t="s">
        <v>849</v>
      </c>
      <c r="C204" s="7">
        <v>3.0</v>
      </c>
      <c r="D204" s="8" t="s">
        <v>777</v>
      </c>
      <c r="E204" s="7" t="s">
        <v>378</v>
      </c>
      <c r="F204" s="8" t="s">
        <v>778</v>
      </c>
      <c r="G204" s="8" t="s">
        <v>360</v>
      </c>
      <c r="H204" s="7" t="s">
        <v>487</v>
      </c>
      <c r="I204" s="10" t="s">
        <v>489</v>
      </c>
      <c r="J204" s="7" t="s">
        <v>442</v>
      </c>
    </row>
    <row r="205" ht="15.75" customHeight="1">
      <c r="A205" s="7">
        <v>184.0</v>
      </c>
      <c r="B205" s="7" t="s">
        <v>849</v>
      </c>
      <c r="C205" s="7">
        <v>3.0</v>
      </c>
      <c r="D205" s="8" t="s">
        <v>777</v>
      </c>
      <c r="E205" s="7" t="s">
        <v>456</v>
      </c>
      <c r="F205" s="8" t="s">
        <v>785</v>
      </c>
      <c r="G205" s="8" t="s">
        <v>360</v>
      </c>
      <c r="H205" s="7" t="s">
        <v>448</v>
      </c>
      <c r="I205" s="10" t="s">
        <v>450</v>
      </c>
      <c r="J205" s="7" t="s">
        <v>442</v>
      </c>
    </row>
    <row r="206" ht="15.75" customHeight="1">
      <c r="A206" s="7">
        <v>185.0</v>
      </c>
      <c r="B206" s="7" t="s">
        <v>849</v>
      </c>
      <c r="C206" s="7">
        <v>3.0</v>
      </c>
      <c r="D206" s="8" t="s">
        <v>777</v>
      </c>
      <c r="E206" s="7" t="s">
        <v>514</v>
      </c>
      <c r="F206" s="8" t="s">
        <v>795</v>
      </c>
      <c r="G206" s="8" t="s">
        <v>360</v>
      </c>
      <c r="H206" s="7" t="s">
        <v>460</v>
      </c>
      <c r="I206" s="10" t="s">
        <v>497</v>
      </c>
      <c r="J206" s="7" t="s">
        <v>41</v>
      </c>
    </row>
    <row r="207" ht="15.75" customHeight="1">
      <c r="A207" s="7">
        <v>186.0</v>
      </c>
      <c r="B207" s="7" t="s">
        <v>849</v>
      </c>
      <c r="C207" s="7">
        <v>3.0</v>
      </c>
      <c r="D207" s="8" t="s">
        <v>777</v>
      </c>
      <c r="E207" s="7" t="s">
        <v>532</v>
      </c>
      <c r="F207" s="8" t="s">
        <v>797</v>
      </c>
      <c r="G207" s="8" t="s">
        <v>360</v>
      </c>
      <c r="H207" s="7" t="s">
        <v>473</v>
      </c>
      <c r="I207" s="10" t="s">
        <v>521</v>
      </c>
      <c r="J207" s="7" t="s">
        <v>41</v>
      </c>
    </row>
    <row r="208" ht="15.75" customHeight="1">
      <c r="A208" s="7">
        <v>187.0</v>
      </c>
      <c r="B208" s="7" t="s">
        <v>849</v>
      </c>
      <c r="C208" s="7">
        <v>3.0</v>
      </c>
      <c r="D208" s="8" t="s">
        <v>777</v>
      </c>
      <c r="E208" s="7" t="s">
        <v>532</v>
      </c>
      <c r="F208" s="8" t="s">
        <v>797</v>
      </c>
      <c r="G208" s="8" t="s">
        <v>365</v>
      </c>
      <c r="H208" s="7" t="s">
        <v>856</v>
      </c>
      <c r="I208" s="10" t="s">
        <v>858</v>
      </c>
      <c r="J208" s="7" t="s">
        <v>442</v>
      </c>
    </row>
    <row r="209" ht="15.75" customHeight="1">
      <c r="A209" s="7">
        <v>188.0</v>
      </c>
      <c r="B209" s="7" t="s">
        <v>849</v>
      </c>
      <c r="C209" s="7">
        <v>4.0</v>
      </c>
      <c r="D209" s="8" t="s">
        <v>421</v>
      </c>
      <c r="E209" s="7" t="s">
        <v>590</v>
      </c>
      <c r="F209" s="8" t="s">
        <v>483</v>
      </c>
      <c r="G209" s="8" t="s">
        <v>361</v>
      </c>
      <c r="H209" s="7" t="s">
        <v>488</v>
      </c>
      <c r="I209" s="10" t="s">
        <v>586</v>
      </c>
      <c r="J209" s="7" t="s">
        <v>41</v>
      </c>
    </row>
    <row r="210" ht="15.75" customHeight="1">
      <c r="A210" s="7">
        <v>189.0</v>
      </c>
      <c r="B210" s="7" t="s">
        <v>849</v>
      </c>
      <c r="C210" s="7">
        <v>4.0</v>
      </c>
      <c r="D210" s="8" t="s">
        <v>421</v>
      </c>
      <c r="E210" s="7" t="s">
        <v>424</v>
      </c>
      <c r="F210" s="8" t="s">
        <v>492</v>
      </c>
      <c r="G210" s="8" t="s">
        <v>360</v>
      </c>
      <c r="H210" s="7" t="s">
        <v>413</v>
      </c>
      <c r="I210" s="10" t="s">
        <v>417</v>
      </c>
      <c r="J210" s="7" t="s">
        <v>41</v>
      </c>
    </row>
    <row r="211" ht="15.75" customHeight="1">
      <c r="A211" s="7">
        <v>190.0</v>
      </c>
      <c r="B211" s="7" t="s">
        <v>849</v>
      </c>
      <c r="C211" s="7">
        <v>4.0</v>
      </c>
      <c r="D211" s="8" t="s">
        <v>421</v>
      </c>
      <c r="E211" s="7" t="s">
        <v>424</v>
      </c>
      <c r="F211" s="8" t="s">
        <v>492</v>
      </c>
      <c r="G211" s="8" t="s">
        <v>361</v>
      </c>
      <c r="H211" s="7" t="s">
        <v>596</v>
      </c>
      <c r="I211" s="10" t="s">
        <v>597</v>
      </c>
      <c r="J211" s="7" t="s">
        <v>41</v>
      </c>
    </row>
    <row r="212" ht="15.75" customHeight="1">
      <c r="A212" s="7">
        <v>191.0</v>
      </c>
      <c r="B212" s="7" t="s">
        <v>849</v>
      </c>
      <c r="C212" s="7">
        <v>4.0</v>
      </c>
      <c r="D212" s="8" t="s">
        <v>421</v>
      </c>
      <c r="E212" s="7" t="s">
        <v>424</v>
      </c>
      <c r="F212" s="8" t="s">
        <v>492</v>
      </c>
      <c r="G212" s="8" t="s">
        <v>361</v>
      </c>
      <c r="H212" s="7" t="s">
        <v>605</v>
      </c>
      <c r="I212" s="10" t="s">
        <v>606</v>
      </c>
      <c r="J212" s="7" t="s">
        <v>41</v>
      </c>
    </row>
    <row r="213" ht="15.75" customHeight="1">
      <c r="A213" s="7">
        <v>192.0</v>
      </c>
      <c r="B213" s="7" t="s">
        <v>849</v>
      </c>
      <c r="C213" s="7">
        <v>5.0</v>
      </c>
      <c r="D213" s="8" t="s">
        <v>464</v>
      </c>
      <c r="E213" s="7" t="s">
        <v>642</v>
      </c>
      <c r="F213" s="8" t="s">
        <v>505</v>
      </c>
      <c r="G213" s="8" t="s">
        <v>361</v>
      </c>
      <c r="H213" s="7" t="s">
        <v>509</v>
      </c>
      <c r="I213" s="10" t="s">
        <v>635</v>
      </c>
      <c r="J213" s="7" t="s">
        <v>442</v>
      </c>
    </row>
    <row r="214" ht="15.75" customHeight="1">
      <c r="A214" s="7">
        <v>193.0</v>
      </c>
      <c r="B214" s="7" t="s">
        <v>849</v>
      </c>
      <c r="C214" s="7">
        <v>5.0</v>
      </c>
      <c r="D214" s="8" t="s">
        <v>464</v>
      </c>
      <c r="E214" s="7" t="s">
        <v>467</v>
      </c>
      <c r="F214" s="8" t="s">
        <v>510</v>
      </c>
      <c r="G214" s="8" t="s">
        <v>360</v>
      </c>
      <c r="H214" s="7" t="s">
        <v>459</v>
      </c>
      <c r="I214" s="10" t="s">
        <v>461</v>
      </c>
      <c r="J214" s="7" t="s">
        <v>442</v>
      </c>
    </row>
    <row r="215" ht="15.75" customHeight="1">
      <c r="A215" s="7">
        <v>194.0</v>
      </c>
      <c r="B215" s="7" t="s">
        <v>849</v>
      </c>
      <c r="C215" s="7">
        <v>5.0</v>
      </c>
      <c r="D215" s="8" t="s">
        <v>464</v>
      </c>
      <c r="E215" s="7" t="s">
        <v>890</v>
      </c>
      <c r="F215" s="8" t="s">
        <v>516</v>
      </c>
      <c r="G215" s="8" t="s">
        <v>365</v>
      </c>
      <c r="H215" s="7" t="s">
        <v>885</v>
      </c>
      <c r="I215" s="10" t="s">
        <v>886</v>
      </c>
      <c r="J215" s="7" t="s">
        <v>442</v>
      </c>
    </row>
    <row r="216" ht="15.75" customHeight="1">
      <c r="A216" s="7">
        <v>195.0</v>
      </c>
      <c r="B216" s="7" t="s">
        <v>849</v>
      </c>
      <c r="C216" s="7">
        <v>5.0</v>
      </c>
      <c r="D216" s="8" t="s">
        <v>464</v>
      </c>
      <c r="E216" s="7" t="s">
        <v>623</v>
      </c>
      <c r="F216" s="8" t="s">
        <v>529</v>
      </c>
      <c r="G216" s="8" t="s">
        <v>365</v>
      </c>
      <c r="H216" s="7" t="s">
        <v>871</v>
      </c>
      <c r="I216" s="10" t="s">
        <v>617</v>
      </c>
      <c r="J216" s="7" t="s">
        <v>41</v>
      </c>
    </row>
    <row r="217" ht="15.75" customHeight="1">
      <c r="A217" s="7">
        <v>196.0</v>
      </c>
      <c r="B217" s="7" t="s">
        <v>849</v>
      </c>
      <c r="C217" s="7">
        <v>5.0</v>
      </c>
      <c r="D217" s="8" t="s">
        <v>464</v>
      </c>
      <c r="E217" s="7" t="s">
        <v>623</v>
      </c>
      <c r="F217" s="8" t="s">
        <v>529</v>
      </c>
      <c r="G217" s="8" t="s">
        <v>361</v>
      </c>
      <c r="H217" s="7" t="s">
        <v>613</v>
      </c>
      <c r="I217" s="10" t="s">
        <v>617</v>
      </c>
      <c r="J217" s="7" t="s">
        <v>41</v>
      </c>
    </row>
    <row r="218" ht="15.75" customHeight="1">
      <c r="A218" s="7">
        <v>197.0</v>
      </c>
      <c r="B218" s="7" t="s">
        <v>849</v>
      </c>
      <c r="C218" s="7">
        <v>5.0</v>
      </c>
      <c r="D218" s="8" t="s">
        <v>464</v>
      </c>
      <c r="E218" s="7" t="s">
        <v>883</v>
      </c>
      <c r="F218" s="8" t="s">
        <v>830</v>
      </c>
      <c r="G218" s="8" t="s">
        <v>365</v>
      </c>
      <c r="H218" s="7" t="s">
        <v>880</v>
      </c>
      <c r="I218" s="10" t="s">
        <v>881</v>
      </c>
      <c r="J218" s="7" t="s">
        <v>41</v>
      </c>
    </row>
    <row r="219" ht="15.75" customHeight="1">
      <c r="A219" s="7">
        <v>198.0</v>
      </c>
      <c r="B219" s="7" t="s">
        <v>849</v>
      </c>
      <c r="C219" s="7">
        <v>5.0</v>
      </c>
      <c r="D219" s="8" t="s">
        <v>464</v>
      </c>
      <c r="E219" s="7" t="s">
        <v>896</v>
      </c>
      <c r="F219" s="8" t="s">
        <v>994</v>
      </c>
      <c r="G219" s="8" t="s">
        <v>365</v>
      </c>
      <c r="H219" s="7" t="s">
        <v>891</v>
      </c>
      <c r="I219" s="10" t="s">
        <v>892</v>
      </c>
      <c r="J219" s="7" t="s">
        <v>442</v>
      </c>
    </row>
    <row r="220" ht="15.75" customHeight="1">
      <c r="A220" s="7">
        <v>199.0</v>
      </c>
      <c r="B220" s="7" t="s">
        <v>849</v>
      </c>
      <c r="C220" s="7">
        <v>5.0</v>
      </c>
      <c r="D220" s="8" t="s">
        <v>464</v>
      </c>
      <c r="E220" s="7" t="s">
        <v>896</v>
      </c>
      <c r="F220" s="8" t="s">
        <v>994</v>
      </c>
      <c r="G220" s="8" t="s">
        <v>365</v>
      </c>
      <c r="H220" s="7" t="s">
        <v>897</v>
      </c>
      <c r="I220" s="10" t="s">
        <v>898</v>
      </c>
      <c r="J220" s="7" t="s">
        <v>442</v>
      </c>
    </row>
    <row r="221" ht="15.75" customHeight="1">
      <c r="A221" s="7">
        <v>200.0</v>
      </c>
      <c r="B221" s="7" t="s">
        <v>849</v>
      </c>
      <c r="C221" s="7">
        <v>5.0</v>
      </c>
      <c r="D221" s="8" t="s">
        <v>464</v>
      </c>
      <c r="E221" s="7" t="s">
        <v>896</v>
      </c>
      <c r="F221" s="8" t="s">
        <v>994</v>
      </c>
      <c r="G221" s="8" t="s">
        <v>365</v>
      </c>
      <c r="H221" s="7" t="s">
        <v>901</v>
      </c>
      <c r="I221" s="10" t="s">
        <v>902</v>
      </c>
      <c r="J221" s="7" t="s">
        <v>442</v>
      </c>
    </row>
    <row r="222" ht="15.75" customHeight="1">
      <c r="A222" s="7">
        <v>201.0</v>
      </c>
      <c r="B222" s="7" t="s">
        <v>849</v>
      </c>
      <c r="C222" s="7">
        <v>6.0</v>
      </c>
      <c r="D222" s="8" t="s">
        <v>538</v>
      </c>
      <c r="E222" s="7" t="s">
        <v>545</v>
      </c>
      <c r="F222" s="8" t="s">
        <v>547</v>
      </c>
      <c r="G222" s="8" t="s">
        <v>365</v>
      </c>
      <c r="H222" s="7" t="s">
        <v>866</v>
      </c>
      <c r="I222" s="10" t="s">
        <v>867</v>
      </c>
      <c r="J222" s="7" t="s">
        <v>41</v>
      </c>
    </row>
    <row r="223" ht="15.75" customHeight="1">
      <c r="A223" s="7">
        <v>202.0</v>
      </c>
      <c r="B223" s="7" t="s">
        <v>849</v>
      </c>
      <c r="C223" s="7">
        <v>6.0</v>
      </c>
      <c r="D223" s="8" t="s">
        <v>538</v>
      </c>
      <c r="E223" s="7" t="s">
        <v>545</v>
      </c>
      <c r="F223" s="8" t="s">
        <v>547</v>
      </c>
      <c r="G223" s="8" t="s">
        <v>365</v>
      </c>
      <c r="H223" s="7" t="s">
        <v>874</v>
      </c>
      <c r="I223" s="10" t="s">
        <v>876</v>
      </c>
      <c r="J223" s="7" t="s">
        <v>41</v>
      </c>
    </row>
    <row r="224" ht="15.75" customHeight="1">
      <c r="A224" s="7">
        <v>203.0</v>
      </c>
      <c r="B224" s="7" t="s">
        <v>849</v>
      </c>
      <c r="C224" s="7">
        <v>6.0</v>
      </c>
      <c r="D224" s="8" t="s">
        <v>538</v>
      </c>
      <c r="E224" s="7" t="s">
        <v>545</v>
      </c>
      <c r="F224" s="8" t="s">
        <v>547</v>
      </c>
      <c r="G224" s="8" t="s">
        <v>361</v>
      </c>
      <c r="H224" s="7" t="s">
        <v>536</v>
      </c>
      <c r="I224" s="10" t="s">
        <v>537</v>
      </c>
      <c r="J224" s="7" t="s">
        <v>41</v>
      </c>
    </row>
    <row r="225" ht="15.75" customHeight="1">
      <c r="A225" s="7">
        <v>204.0</v>
      </c>
      <c r="B225" s="7" t="s">
        <v>849</v>
      </c>
      <c r="C225" s="7">
        <v>6.0</v>
      </c>
      <c r="D225" s="8" t="s">
        <v>538</v>
      </c>
      <c r="E225" s="7" t="s">
        <v>545</v>
      </c>
      <c r="F225" s="8" t="s">
        <v>547</v>
      </c>
      <c r="G225" s="8" t="s">
        <v>361</v>
      </c>
      <c r="H225" s="7" t="s">
        <v>546</v>
      </c>
      <c r="I225" s="10" t="s">
        <v>550</v>
      </c>
      <c r="J225" s="7" t="s">
        <v>41</v>
      </c>
    </row>
    <row r="226" ht="15.75" customHeight="1">
      <c r="A226" s="7">
        <v>205.0</v>
      </c>
      <c r="B226" s="7" t="s">
        <v>849</v>
      </c>
      <c r="C226" s="7">
        <v>6.0</v>
      </c>
      <c r="D226" s="8" t="s">
        <v>538</v>
      </c>
      <c r="E226" s="7" t="s">
        <v>545</v>
      </c>
      <c r="F226" s="8" t="s">
        <v>547</v>
      </c>
      <c r="G226" s="8" t="s">
        <v>361</v>
      </c>
      <c r="H226" s="7" t="s">
        <v>556</v>
      </c>
      <c r="I226" s="10" t="s">
        <v>558</v>
      </c>
      <c r="J226" s="7" t="s">
        <v>41</v>
      </c>
    </row>
    <row r="227" ht="15.75" customHeight="1">
      <c r="A227" s="7">
        <v>206.0</v>
      </c>
      <c r="B227" s="7" t="s">
        <v>849</v>
      </c>
      <c r="C227" s="7">
        <v>6.0</v>
      </c>
      <c r="D227" s="8" t="s">
        <v>538</v>
      </c>
      <c r="E227" s="7" t="s">
        <v>545</v>
      </c>
      <c r="F227" s="8" t="s">
        <v>547</v>
      </c>
      <c r="G227" s="8" t="s">
        <v>361</v>
      </c>
      <c r="H227" s="7" t="s">
        <v>573</v>
      </c>
      <c r="I227" s="10" t="s">
        <v>575</v>
      </c>
      <c r="J227" s="7" t="s">
        <v>41</v>
      </c>
    </row>
    <row r="228" ht="15.75" customHeight="1">
      <c r="A228" s="7">
        <v>207.0</v>
      </c>
      <c r="B228" s="7" t="s">
        <v>849</v>
      </c>
      <c r="C228" s="7">
        <v>6.0</v>
      </c>
      <c r="D228" s="8" t="s">
        <v>538</v>
      </c>
      <c r="E228" s="7" t="s">
        <v>545</v>
      </c>
      <c r="F228" s="8" t="s">
        <v>547</v>
      </c>
      <c r="G228" s="8" t="s">
        <v>361</v>
      </c>
      <c r="H228" s="7" t="s">
        <v>629</v>
      </c>
      <c r="I228" s="10" t="s">
        <v>630</v>
      </c>
      <c r="J228" s="7" t="s">
        <v>41</v>
      </c>
    </row>
    <row r="229" ht="15.75" customHeight="1">
      <c r="A229" s="7">
        <v>208.0</v>
      </c>
      <c r="B229" s="7" t="s">
        <v>849</v>
      </c>
      <c r="C229" s="7">
        <v>6.0</v>
      </c>
      <c r="D229" s="8" t="s">
        <v>538</v>
      </c>
      <c r="E229" s="7" t="s">
        <v>545</v>
      </c>
      <c r="F229" s="8" t="s">
        <v>547</v>
      </c>
      <c r="G229" s="8" t="s">
        <v>361</v>
      </c>
      <c r="H229" s="7" t="s">
        <v>643</v>
      </c>
      <c r="I229" s="10" t="s">
        <v>647</v>
      </c>
      <c r="J229" s="7" t="s">
        <v>41</v>
      </c>
    </row>
    <row r="230" ht="15.75" customHeight="1">
      <c r="A230" s="7">
        <v>209.0</v>
      </c>
      <c r="B230" s="7" t="s">
        <v>849</v>
      </c>
      <c r="C230" s="7">
        <v>6.0</v>
      </c>
      <c r="D230" s="8" t="s">
        <v>538</v>
      </c>
      <c r="E230" s="7" t="s">
        <v>659</v>
      </c>
      <c r="F230" s="8" t="s">
        <v>554</v>
      </c>
      <c r="G230" s="8" t="s">
        <v>361</v>
      </c>
      <c r="H230" s="7" t="s">
        <v>557</v>
      </c>
      <c r="I230" s="10" t="s">
        <v>656</v>
      </c>
      <c r="J230" s="7" t="s">
        <v>41</v>
      </c>
    </row>
    <row r="231" ht="15.75" customHeight="1">
      <c r="A231" s="7">
        <v>210.0</v>
      </c>
      <c r="B231" s="7" t="s">
        <v>849</v>
      </c>
      <c r="C231" s="7">
        <v>7.0</v>
      </c>
      <c r="D231" s="8" t="s">
        <v>568</v>
      </c>
      <c r="E231" s="7" t="s">
        <v>672</v>
      </c>
      <c r="F231" s="8" t="s">
        <v>576</v>
      </c>
      <c r="G231" s="8" t="s">
        <v>361</v>
      </c>
      <c r="H231" s="7" t="s">
        <v>581</v>
      </c>
      <c r="I231" s="10" t="s">
        <v>665</v>
      </c>
      <c r="J231" s="7" t="s">
        <v>442</v>
      </c>
    </row>
    <row r="232" ht="15.75" customHeight="1">
      <c r="A232" s="7">
        <v>211.0</v>
      </c>
      <c r="B232" s="7" t="s">
        <v>849</v>
      </c>
      <c r="C232" s="7">
        <v>8.0</v>
      </c>
      <c r="D232" s="8" t="s">
        <v>589</v>
      </c>
      <c r="E232" s="7" t="s">
        <v>684</v>
      </c>
      <c r="F232" s="8" t="s">
        <v>601</v>
      </c>
      <c r="G232" s="8" t="s">
        <v>365</v>
      </c>
      <c r="H232" s="7" t="s">
        <v>907</v>
      </c>
      <c r="I232" s="10" t="s">
        <v>908</v>
      </c>
      <c r="J232" s="7" t="s">
        <v>41</v>
      </c>
    </row>
    <row r="233" ht="15.75" customHeight="1">
      <c r="A233" s="7">
        <v>212.0</v>
      </c>
      <c r="B233" s="7" t="s">
        <v>849</v>
      </c>
      <c r="C233" s="7">
        <v>8.0</v>
      </c>
      <c r="D233" s="8" t="s">
        <v>589</v>
      </c>
      <c r="E233" s="7" t="s">
        <v>684</v>
      </c>
      <c r="F233" s="8" t="s">
        <v>601</v>
      </c>
      <c r="G233" s="8" t="s">
        <v>361</v>
      </c>
      <c r="H233" s="7" t="s">
        <v>674</v>
      </c>
      <c r="I233" s="10" t="s">
        <v>675</v>
      </c>
      <c r="J233" s="7" t="s">
        <v>41</v>
      </c>
    </row>
    <row r="234" ht="15.75" customHeight="1">
      <c r="A234" s="7">
        <v>213.0</v>
      </c>
      <c r="B234" s="7" t="s">
        <v>849</v>
      </c>
      <c r="C234" s="7">
        <v>9.0</v>
      </c>
      <c r="D234" s="8" t="s">
        <v>607</v>
      </c>
      <c r="E234" s="7" t="s">
        <v>695</v>
      </c>
      <c r="F234" s="8" t="s">
        <v>366</v>
      </c>
      <c r="G234" s="8" t="s">
        <v>365</v>
      </c>
      <c r="H234" s="7" t="s">
        <v>913</v>
      </c>
      <c r="I234" s="10" t="s">
        <v>914</v>
      </c>
      <c r="J234" s="7" t="s">
        <v>41</v>
      </c>
    </row>
    <row r="235" ht="15.75" customHeight="1">
      <c r="A235" s="7">
        <v>214.0</v>
      </c>
      <c r="B235" s="7" t="s">
        <v>849</v>
      </c>
      <c r="C235" s="7">
        <v>9.0</v>
      </c>
      <c r="D235" s="8" t="s">
        <v>607</v>
      </c>
      <c r="E235" s="7" t="s">
        <v>695</v>
      </c>
      <c r="F235" s="8" t="s">
        <v>366</v>
      </c>
      <c r="G235" s="8" t="s">
        <v>361</v>
      </c>
      <c r="H235" s="7" t="s">
        <v>685</v>
      </c>
      <c r="I235" s="10" t="s">
        <v>689</v>
      </c>
      <c r="J235" s="7" t="s">
        <v>41</v>
      </c>
    </row>
    <row r="236" ht="15.75" customHeight="1">
      <c r="A236" s="7">
        <v>215.0</v>
      </c>
      <c r="B236" s="7" t="s">
        <v>849</v>
      </c>
      <c r="C236" s="7">
        <v>9.0</v>
      </c>
      <c r="D236" s="8" t="s">
        <v>607</v>
      </c>
      <c r="E236" s="7" t="s">
        <v>695</v>
      </c>
      <c r="F236" s="8" t="s">
        <v>366</v>
      </c>
      <c r="G236" s="8" t="s">
        <v>366</v>
      </c>
      <c r="H236" s="7" t="s">
        <v>929</v>
      </c>
      <c r="I236" s="10" t="s">
        <v>931</v>
      </c>
      <c r="J236" s="7" t="s">
        <v>41</v>
      </c>
    </row>
    <row r="237" ht="15.75" customHeight="1">
      <c r="A237" s="7">
        <v>216.0</v>
      </c>
      <c r="B237" s="7" t="s">
        <v>849</v>
      </c>
      <c r="C237" s="7">
        <v>9.0</v>
      </c>
      <c r="D237" s="8" t="s">
        <v>607</v>
      </c>
      <c r="E237" s="7" t="s">
        <v>695</v>
      </c>
      <c r="F237" s="8" t="s">
        <v>366</v>
      </c>
      <c r="G237" s="8" t="s">
        <v>366</v>
      </c>
      <c r="H237" s="7" t="s">
        <v>934</v>
      </c>
      <c r="I237" s="10" t="s">
        <v>935</v>
      </c>
      <c r="J237" s="7" t="s">
        <v>41</v>
      </c>
    </row>
    <row r="238" ht="15.75" customHeight="1">
      <c r="A238" s="7">
        <v>217.0</v>
      </c>
      <c r="B238" s="7" t="s">
        <v>849</v>
      </c>
      <c r="C238" s="7">
        <v>9.0</v>
      </c>
      <c r="D238" s="8" t="s">
        <v>607</v>
      </c>
      <c r="E238" s="7" t="s">
        <v>695</v>
      </c>
      <c r="F238" s="8" t="s">
        <v>366</v>
      </c>
      <c r="G238" s="8" t="s">
        <v>366</v>
      </c>
      <c r="H238" s="7" t="s">
        <v>936</v>
      </c>
      <c r="I238" s="10" t="s">
        <v>937</v>
      </c>
      <c r="J238" s="7" t="s">
        <v>41</v>
      </c>
    </row>
    <row r="239" ht="15.75" customHeight="1">
      <c r="A239" s="7">
        <v>218.0</v>
      </c>
      <c r="B239" s="7" t="s">
        <v>849</v>
      </c>
      <c r="C239" s="7">
        <v>9.0</v>
      </c>
      <c r="D239" s="8" t="s">
        <v>607</v>
      </c>
      <c r="E239" s="7" t="s">
        <v>695</v>
      </c>
      <c r="F239" s="8" t="s">
        <v>366</v>
      </c>
      <c r="G239" s="8" t="s">
        <v>366</v>
      </c>
      <c r="H239" s="7" t="s">
        <v>941</v>
      </c>
      <c r="I239" s="10" t="s">
        <v>943</v>
      </c>
      <c r="J239" s="7" t="s">
        <v>41</v>
      </c>
    </row>
    <row r="240" ht="15.75" customHeight="1">
      <c r="A240" s="7">
        <v>219.0</v>
      </c>
      <c r="B240" s="7" t="s">
        <v>849</v>
      </c>
      <c r="C240" s="7">
        <v>9.0</v>
      </c>
      <c r="D240" s="8" t="s">
        <v>607</v>
      </c>
      <c r="E240" s="7" t="s">
        <v>695</v>
      </c>
      <c r="F240" s="8" t="s">
        <v>366</v>
      </c>
      <c r="G240" s="8" t="s">
        <v>366</v>
      </c>
      <c r="H240" s="7" t="s">
        <v>946</v>
      </c>
      <c r="I240" s="10" t="s">
        <v>947</v>
      </c>
      <c r="J240" s="7" t="s">
        <v>41</v>
      </c>
    </row>
    <row r="241" ht="15.75" customHeight="1">
      <c r="A241" s="7">
        <v>220.0</v>
      </c>
      <c r="B241" s="7" t="s">
        <v>849</v>
      </c>
      <c r="C241" s="7">
        <v>9.0</v>
      </c>
      <c r="D241" s="8" t="s">
        <v>607</v>
      </c>
      <c r="E241" s="7" t="s">
        <v>695</v>
      </c>
      <c r="F241" s="8" t="s">
        <v>366</v>
      </c>
      <c r="G241" s="8" t="s">
        <v>366</v>
      </c>
      <c r="H241" s="7" t="s">
        <v>950</v>
      </c>
      <c r="I241" s="10" t="s">
        <v>951</v>
      </c>
      <c r="J241" s="7" t="s">
        <v>41</v>
      </c>
    </row>
    <row r="242" ht="15.75" customHeight="1">
      <c r="A242" s="7">
        <v>221.0</v>
      </c>
      <c r="B242" s="7" t="s">
        <v>849</v>
      </c>
      <c r="C242" s="7">
        <v>9.0</v>
      </c>
      <c r="D242" s="8" t="s">
        <v>607</v>
      </c>
      <c r="E242" s="7" t="s">
        <v>695</v>
      </c>
      <c r="F242" s="8" t="s">
        <v>366</v>
      </c>
      <c r="G242" s="8" t="s">
        <v>366</v>
      </c>
      <c r="H242" s="7" t="s">
        <v>954</v>
      </c>
      <c r="I242" s="10" t="s">
        <v>955</v>
      </c>
      <c r="J242" s="7" t="s">
        <v>41</v>
      </c>
    </row>
    <row r="243" ht="15.75" customHeight="1">
      <c r="A243" s="7">
        <v>222.0</v>
      </c>
      <c r="B243" s="7" t="s">
        <v>849</v>
      </c>
      <c r="C243" s="7">
        <v>9.0</v>
      </c>
      <c r="D243" s="8" t="s">
        <v>607</v>
      </c>
      <c r="E243" s="7" t="s">
        <v>695</v>
      </c>
      <c r="F243" s="8" t="s">
        <v>366</v>
      </c>
      <c r="G243" s="8" t="s">
        <v>366</v>
      </c>
      <c r="H243" s="7" t="s">
        <v>958</v>
      </c>
      <c r="I243" s="10" t="s">
        <v>959</v>
      </c>
      <c r="J243" s="7" t="s">
        <v>41</v>
      </c>
    </row>
    <row r="244" ht="15.75" customHeight="1">
      <c r="A244" s="7">
        <v>223.0</v>
      </c>
      <c r="B244" s="7" t="s">
        <v>849</v>
      </c>
      <c r="C244" s="7">
        <v>9.0</v>
      </c>
      <c r="D244" s="8" t="s">
        <v>607</v>
      </c>
      <c r="E244" s="7" t="s">
        <v>695</v>
      </c>
      <c r="F244" s="8" t="s">
        <v>366</v>
      </c>
      <c r="G244" s="8" t="s">
        <v>366</v>
      </c>
      <c r="H244" s="7" t="s">
        <v>962</v>
      </c>
      <c r="I244" s="10" t="s">
        <v>611</v>
      </c>
      <c r="J244" s="7" t="s">
        <v>41</v>
      </c>
    </row>
    <row r="245" ht="15.75" customHeight="1">
      <c r="A245" s="7">
        <v>224.0</v>
      </c>
      <c r="B245" s="7" t="s">
        <v>849</v>
      </c>
      <c r="C245" s="7">
        <v>9.0</v>
      </c>
      <c r="D245" s="8" t="s">
        <v>607</v>
      </c>
      <c r="E245" s="7" t="s">
        <v>695</v>
      </c>
      <c r="F245" s="8" t="s">
        <v>366</v>
      </c>
      <c r="G245" s="8" t="s">
        <v>366</v>
      </c>
      <c r="H245" s="7" t="s">
        <v>967</v>
      </c>
      <c r="I245" s="10" t="s">
        <v>968</v>
      </c>
      <c r="J245" s="7" t="s">
        <v>41</v>
      </c>
    </row>
    <row r="246" ht="15.75" customHeight="1">
      <c r="A246" s="7">
        <v>225.0</v>
      </c>
      <c r="B246" s="7" t="s">
        <v>849</v>
      </c>
      <c r="C246" s="7">
        <v>9.0</v>
      </c>
      <c r="D246" s="8" t="s">
        <v>607</v>
      </c>
      <c r="E246" s="7" t="s">
        <v>710</v>
      </c>
      <c r="F246" s="8" t="s">
        <v>860</v>
      </c>
      <c r="G246" s="8" t="s">
        <v>361</v>
      </c>
      <c r="H246" s="7" t="s">
        <v>701</v>
      </c>
      <c r="I246" s="10" t="s">
        <v>703</v>
      </c>
      <c r="J246" s="7" t="s">
        <v>41</v>
      </c>
    </row>
    <row r="247" ht="15.75" customHeight="1">
      <c r="A247" s="7">
        <v>226.0</v>
      </c>
      <c r="B247" s="7" t="s">
        <v>849</v>
      </c>
      <c r="C247" s="7">
        <v>10.0</v>
      </c>
      <c r="D247" s="8" t="s">
        <v>631</v>
      </c>
      <c r="E247" s="7" t="s">
        <v>919</v>
      </c>
      <c r="F247" s="8" t="s">
        <v>668</v>
      </c>
      <c r="G247" s="8" t="s">
        <v>365</v>
      </c>
      <c r="H247" s="7" t="s">
        <v>915</v>
      </c>
      <c r="I247" s="10" t="s">
        <v>839</v>
      </c>
      <c r="J247" s="7" t="s">
        <v>41</v>
      </c>
    </row>
    <row r="248" ht="15.75" customHeight="1">
      <c r="A248" s="7">
        <v>227.0</v>
      </c>
      <c r="B248" s="7" t="s">
        <v>849</v>
      </c>
      <c r="C248" s="7">
        <v>11.0</v>
      </c>
      <c r="D248" s="8" t="s">
        <v>676</v>
      </c>
      <c r="E248" s="7" t="s">
        <v>927</v>
      </c>
      <c r="F248" s="8" t="s">
        <v>678</v>
      </c>
      <c r="G248" s="8" t="s">
        <v>365</v>
      </c>
      <c r="H248" s="7" t="s">
        <v>922</v>
      </c>
      <c r="I248" s="10" t="s">
        <v>844</v>
      </c>
      <c r="J248" s="7" t="s">
        <v>41</v>
      </c>
    </row>
    <row r="249" ht="15.75" customHeight="1">
      <c r="A249" s="7">
        <v>228.0</v>
      </c>
      <c r="B249" s="7" t="s">
        <v>849</v>
      </c>
      <c r="C249" s="7">
        <v>11.0</v>
      </c>
      <c r="D249" s="8" t="s">
        <v>676</v>
      </c>
      <c r="E249" s="7" t="s">
        <v>927</v>
      </c>
      <c r="F249" s="8" t="s">
        <v>678</v>
      </c>
      <c r="G249" s="8" t="s">
        <v>368</v>
      </c>
      <c r="H249" s="7" t="s">
        <v>1050</v>
      </c>
      <c r="I249" s="10" t="s">
        <v>844</v>
      </c>
      <c r="J249" s="7" t="s">
        <v>41</v>
      </c>
    </row>
    <row r="250" ht="15.75" customHeight="1">
      <c r="A250" s="7">
        <v>229.0</v>
      </c>
      <c r="B250" s="7" t="s">
        <v>849</v>
      </c>
      <c r="C250" s="7">
        <v>12.0</v>
      </c>
      <c r="D250" s="8" t="s">
        <v>367</v>
      </c>
      <c r="E250" s="7" t="s">
        <v>976</v>
      </c>
      <c r="F250" s="8" t="s">
        <v>697</v>
      </c>
      <c r="G250" s="8" t="s">
        <v>367</v>
      </c>
      <c r="H250" s="7" t="s">
        <v>702</v>
      </c>
      <c r="I250" s="10" t="s">
        <v>974</v>
      </c>
      <c r="J250" s="7" t="s">
        <v>41</v>
      </c>
    </row>
    <row r="251" ht="15.75" customHeight="1">
      <c r="A251" s="7">
        <v>230.0</v>
      </c>
      <c r="B251" s="7" t="s">
        <v>849</v>
      </c>
      <c r="C251" s="7">
        <v>12.0</v>
      </c>
      <c r="D251" s="8" t="s">
        <v>367</v>
      </c>
      <c r="E251" s="7" t="s">
        <v>981</v>
      </c>
      <c r="F251" s="8" t="s">
        <v>707</v>
      </c>
      <c r="G251" s="8" t="s">
        <v>367</v>
      </c>
      <c r="H251" s="7" t="s">
        <v>977</v>
      </c>
      <c r="I251" s="10" t="s">
        <v>978</v>
      </c>
      <c r="J251" s="7" t="s">
        <v>41</v>
      </c>
    </row>
    <row r="252" ht="15.75" customHeight="1">
      <c r="A252" s="7">
        <v>231.0</v>
      </c>
      <c r="B252" s="7" t="s">
        <v>849</v>
      </c>
      <c r="C252" s="7">
        <v>12.0</v>
      </c>
      <c r="D252" s="8" t="s">
        <v>367</v>
      </c>
      <c r="E252" s="7" t="s">
        <v>981</v>
      </c>
      <c r="F252" s="8" t="s">
        <v>707</v>
      </c>
      <c r="G252" s="8" t="s">
        <v>367</v>
      </c>
      <c r="H252" s="7" t="s">
        <v>984</v>
      </c>
      <c r="I252" s="10" t="s">
        <v>985</v>
      </c>
      <c r="J252" s="7" t="s">
        <v>442</v>
      </c>
    </row>
    <row r="253" ht="15.75" customHeight="1">
      <c r="A253" s="7">
        <v>232.0</v>
      </c>
      <c r="B253" s="7" t="s">
        <v>849</v>
      </c>
      <c r="C253" s="7">
        <v>12.0</v>
      </c>
      <c r="D253" s="8" t="s">
        <v>367</v>
      </c>
      <c r="E253" s="7" t="s">
        <v>981</v>
      </c>
      <c r="F253" s="8" t="s">
        <v>707</v>
      </c>
      <c r="G253" s="8" t="s">
        <v>367</v>
      </c>
      <c r="H253" s="7" t="s">
        <v>989</v>
      </c>
      <c r="I253" s="10" t="s">
        <v>990</v>
      </c>
      <c r="J253" s="7" t="s">
        <v>41</v>
      </c>
    </row>
    <row r="254" ht="15.75" customHeight="1">
      <c r="A254" s="7">
        <v>233.0</v>
      </c>
      <c r="B254" s="7" t="s">
        <v>849</v>
      </c>
      <c r="C254" s="7">
        <v>12.0</v>
      </c>
      <c r="D254" s="8" t="s">
        <v>367</v>
      </c>
      <c r="E254" s="7" t="s">
        <v>981</v>
      </c>
      <c r="F254" s="8" t="s">
        <v>707</v>
      </c>
      <c r="G254" s="8" t="s">
        <v>367</v>
      </c>
      <c r="H254" s="7" t="s">
        <v>992</v>
      </c>
      <c r="I254" s="10" t="s">
        <v>993</v>
      </c>
      <c r="J254" s="7" t="s">
        <v>41</v>
      </c>
    </row>
    <row r="255" ht="15.75" customHeight="1">
      <c r="A255" s="7">
        <v>234.0</v>
      </c>
      <c r="B255" s="7" t="s">
        <v>849</v>
      </c>
      <c r="C255" s="7">
        <v>12.0</v>
      </c>
      <c r="D255" s="8" t="s">
        <v>367</v>
      </c>
      <c r="E255" s="7" t="s">
        <v>981</v>
      </c>
      <c r="F255" s="8" t="s">
        <v>707</v>
      </c>
      <c r="G255" s="8" t="s">
        <v>367</v>
      </c>
      <c r="H255" s="7" t="s">
        <v>1000</v>
      </c>
      <c r="I255" s="10" t="s">
        <v>1001</v>
      </c>
      <c r="J255" s="7" t="s">
        <v>41</v>
      </c>
    </row>
    <row r="256" ht="15.75" customHeight="1">
      <c r="A256" s="7">
        <v>235.0</v>
      </c>
      <c r="B256" s="7" t="s">
        <v>849</v>
      </c>
      <c r="C256" s="7">
        <v>12.0</v>
      </c>
      <c r="D256" s="8" t="s">
        <v>367</v>
      </c>
      <c r="E256" s="7" t="s">
        <v>981</v>
      </c>
      <c r="F256" s="8" t="s">
        <v>707</v>
      </c>
      <c r="G256" s="8" t="s">
        <v>367</v>
      </c>
      <c r="H256" s="7" t="s">
        <v>1005</v>
      </c>
      <c r="I256" s="10" t="s">
        <v>1006</v>
      </c>
      <c r="J256" s="7" t="s">
        <v>442</v>
      </c>
    </row>
    <row r="257" ht="15.75" customHeight="1">
      <c r="A257" s="7">
        <v>236.0</v>
      </c>
      <c r="B257" s="7" t="s">
        <v>849</v>
      </c>
      <c r="C257" s="7">
        <v>12.0</v>
      </c>
      <c r="D257" s="8" t="s">
        <v>367</v>
      </c>
      <c r="E257" s="7" t="s">
        <v>981</v>
      </c>
      <c r="F257" s="8" t="s">
        <v>707</v>
      </c>
      <c r="G257" s="8" t="s">
        <v>367</v>
      </c>
      <c r="H257" s="7" t="s">
        <v>1012</v>
      </c>
      <c r="I257" s="10" t="s">
        <v>1013</v>
      </c>
      <c r="J257" s="7" t="s">
        <v>41</v>
      </c>
    </row>
    <row r="258" ht="15.75" customHeight="1">
      <c r="A258" s="7">
        <v>237.0</v>
      </c>
      <c r="B258" s="7" t="s">
        <v>849</v>
      </c>
      <c r="C258" s="7">
        <v>12.0</v>
      </c>
      <c r="D258" s="8" t="s">
        <v>367</v>
      </c>
      <c r="E258" s="7" t="s">
        <v>981</v>
      </c>
      <c r="F258" s="8" t="s">
        <v>707</v>
      </c>
      <c r="G258" s="8" t="s">
        <v>367</v>
      </c>
      <c r="H258" s="7" t="s">
        <v>1016</v>
      </c>
      <c r="I258" s="10" t="s">
        <v>1017</v>
      </c>
      <c r="J258" s="7" t="s">
        <v>41</v>
      </c>
    </row>
    <row r="259" ht="15.75" customHeight="1">
      <c r="A259" s="7">
        <v>238.0</v>
      </c>
      <c r="B259" s="7" t="s">
        <v>849</v>
      </c>
      <c r="C259" s="7">
        <v>12.0</v>
      </c>
      <c r="D259" s="8" t="s">
        <v>367</v>
      </c>
      <c r="E259" s="7" t="s">
        <v>981</v>
      </c>
      <c r="F259" s="8" t="s">
        <v>707</v>
      </c>
      <c r="G259" s="8" t="s">
        <v>367</v>
      </c>
      <c r="H259" s="7" t="s">
        <v>1021</v>
      </c>
      <c r="I259" s="10" t="s">
        <v>1023</v>
      </c>
      <c r="J259" s="7" t="s">
        <v>41</v>
      </c>
    </row>
    <row r="260" ht="15.75" customHeight="1">
      <c r="A260" s="7">
        <v>239.0</v>
      </c>
      <c r="B260" s="7" t="s">
        <v>849</v>
      </c>
      <c r="C260" s="7">
        <v>12.0</v>
      </c>
      <c r="D260" s="8" t="s">
        <v>367</v>
      </c>
      <c r="E260" s="7" t="s">
        <v>981</v>
      </c>
      <c r="F260" s="8" t="s">
        <v>707</v>
      </c>
      <c r="G260" s="8" t="s">
        <v>367</v>
      </c>
      <c r="H260" s="7" t="s">
        <v>1026</v>
      </c>
      <c r="I260" s="10" t="s">
        <v>1027</v>
      </c>
      <c r="J260" s="7" t="s">
        <v>41</v>
      </c>
    </row>
    <row r="261" ht="15.75" customHeight="1">
      <c r="A261" s="7">
        <v>240.0</v>
      </c>
      <c r="B261" s="7" t="s">
        <v>849</v>
      </c>
      <c r="C261" s="7">
        <v>12.0</v>
      </c>
      <c r="D261" s="8" t="s">
        <v>367</v>
      </c>
      <c r="E261" s="7" t="s">
        <v>981</v>
      </c>
      <c r="F261" s="8" t="s">
        <v>707</v>
      </c>
      <c r="G261" s="8" t="s">
        <v>367</v>
      </c>
      <c r="H261" s="7" t="s">
        <v>1030</v>
      </c>
      <c r="I261" s="10" t="s">
        <v>1032</v>
      </c>
      <c r="J261" s="7" t="s">
        <v>41</v>
      </c>
    </row>
    <row r="262" ht="15.75" customHeight="1">
      <c r="A262" s="7">
        <v>241.0</v>
      </c>
      <c r="B262" s="7" t="s">
        <v>849</v>
      </c>
      <c r="C262" s="7">
        <v>12.0</v>
      </c>
      <c r="D262" s="8" t="s">
        <v>367</v>
      </c>
      <c r="E262" s="7" t="s">
        <v>981</v>
      </c>
      <c r="F262" s="8" t="s">
        <v>707</v>
      </c>
      <c r="G262" s="8" t="s">
        <v>367</v>
      </c>
      <c r="H262" s="7" t="s">
        <v>1034</v>
      </c>
      <c r="I262" s="10" t="s">
        <v>1035</v>
      </c>
      <c r="J262" s="7" t="s">
        <v>41</v>
      </c>
    </row>
    <row r="263" ht="15.75" customHeight="1">
      <c r="A263" s="7">
        <v>242.0</v>
      </c>
      <c r="B263" s="7" t="s">
        <v>849</v>
      </c>
      <c r="C263" s="7">
        <v>12.0</v>
      </c>
      <c r="D263" s="8" t="s">
        <v>367</v>
      </c>
      <c r="E263" s="7" t="s">
        <v>981</v>
      </c>
      <c r="F263" s="8" t="s">
        <v>707</v>
      </c>
      <c r="G263" s="8" t="s">
        <v>367</v>
      </c>
      <c r="H263" s="7" t="s">
        <v>1039</v>
      </c>
      <c r="I263" s="10" t="s">
        <v>1040</v>
      </c>
      <c r="J263" s="7" t="s">
        <v>41</v>
      </c>
    </row>
    <row r="264" ht="15.75" customHeight="1">
      <c r="A264" s="7">
        <v>243.0</v>
      </c>
      <c r="B264" s="7" t="s">
        <v>849</v>
      </c>
      <c r="C264" s="7">
        <v>12.0</v>
      </c>
      <c r="D264" s="8" t="s">
        <v>367</v>
      </c>
      <c r="E264" s="7" t="s">
        <v>981</v>
      </c>
      <c r="F264" s="8" t="s">
        <v>707</v>
      </c>
      <c r="G264" s="8" t="s">
        <v>367</v>
      </c>
      <c r="H264" s="7" t="s">
        <v>1045</v>
      </c>
      <c r="I264" s="10" t="s">
        <v>1046</v>
      </c>
      <c r="J264" s="7" t="s">
        <v>41</v>
      </c>
    </row>
    <row r="265" ht="15.75" customHeight="1">
      <c r="A265" s="7">
        <v>244.0</v>
      </c>
      <c r="B265" s="7" t="s">
        <v>849</v>
      </c>
      <c r="C265" s="7">
        <v>12.0</v>
      </c>
      <c r="D265" s="8" t="s">
        <v>367</v>
      </c>
      <c r="E265" s="7" t="s">
        <v>981</v>
      </c>
      <c r="F265" s="8" t="s">
        <v>707</v>
      </c>
      <c r="G265" s="8" t="s">
        <v>368</v>
      </c>
      <c r="H265" s="7" t="s">
        <v>1061</v>
      </c>
      <c r="I265" s="10" t="s">
        <v>1063</v>
      </c>
      <c r="J265" s="7" t="s">
        <v>442</v>
      </c>
    </row>
    <row r="266" ht="15.75" customHeight="1">
      <c r="A266" s="7">
        <v>245.0</v>
      </c>
      <c r="B266" s="7" t="s">
        <v>849</v>
      </c>
      <c r="C266" s="7">
        <v>13.0</v>
      </c>
      <c r="D266" s="8" t="s">
        <v>717</v>
      </c>
      <c r="E266" s="7" t="s">
        <v>1062</v>
      </c>
      <c r="F266" s="8" t="s">
        <v>720</v>
      </c>
      <c r="G266" s="8" t="s">
        <v>368</v>
      </c>
      <c r="H266" s="7" t="s">
        <v>723</v>
      </c>
      <c r="I266" s="10" t="s">
        <v>1072</v>
      </c>
      <c r="J266" s="7" t="s">
        <v>41</v>
      </c>
    </row>
    <row r="267" ht="15.75" customHeight="1">
      <c r="A267" s="7">
        <v>246.0</v>
      </c>
      <c r="B267" s="7" t="s">
        <v>849</v>
      </c>
      <c r="C267" s="7">
        <v>13.0</v>
      </c>
      <c r="D267" s="8" t="s">
        <v>717</v>
      </c>
      <c r="E267" s="7" t="s">
        <v>1058</v>
      </c>
      <c r="F267" s="8" t="s">
        <v>726</v>
      </c>
      <c r="G267" s="8" t="s">
        <v>368</v>
      </c>
      <c r="H267" s="7" t="s">
        <v>1052</v>
      </c>
      <c r="I267" s="10" t="s">
        <v>1053</v>
      </c>
      <c r="J267" s="7" t="s">
        <v>41</v>
      </c>
    </row>
    <row r="268" ht="15.75" customHeight="1">
      <c r="A268" s="7">
        <v>247.0</v>
      </c>
      <c r="B268" s="7" t="s">
        <v>849</v>
      </c>
      <c r="C268" s="7">
        <v>13.0</v>
      </c>
      <c r="D268" s="8" t="s">
        <v>717</v>
      </c>
      <c r="E268" s="7" t="s">
        <v>1058</v>
      </c>
      <c r="F268" s="8" t="s">
        <v>726</v>
      </c>
      <c r="G268" s="8" t="s">
        <v>368</v>
      </c>
      <c r="H268" s="7" t="s">
        <v>1067</v>
      </c>
      <c r="I268" s="10" t="s">
        <v>1069</v>
      </c>
      <c r="J268" s="7" t="s">
        <v>41</v>
      </c>
    </row>
    <row r="269" ht="15.75" customHeight="1">
      <c r="A269" s="7">
        <v>248.0</v>
      </c>
      <c r="B269" s="7" t="s">
        <v>849</v>
      </c>
      <c r="C269" s="7">
        <v>13.0</v>
      </c>
      <c r="D269" s="8" t="s">
        <v>717</v>
      </c>
      <c r="E269" s="7" t="s">
        <v>1058</v>
      </c>
      <c r="F269" s="8" t="s">
        <v>726</v>
      </c>
      <c r="G269" s="8" t="s">
        <v>368</v>
      </c>
      <c r="H269" s="7" t="s">
        <v>1074</v>
      </c>
      <c r="I269" s="10" t="s">
        <v>1075</v>
      </c>
      <c r="J269" s="7" t="s">
        <v>41</v>
      </c>
    </row>
    <row r="270" ht="15.75" customHeight="1">
      <c r="A270" s="7">
        <v>249.0</v>
      </c>
      <c r="B270" s="7" t="s">
        <v>849</v>
      </c>
      <c r="C270" s="7">
        <v>13.0</v>
      </c>
      <c r="D270" s="8" t="s">
        <v>717</v>
      </c>
      <c r="E270" s="7" t="s">
        <v>1058</v>
      </c>
      <c r="F270" s="8" t="s">
        <v>726</v>
      </c>
      <c r="G270" s="8" t="s">
        <v>368</v>
      </c>
      <c r="H270" s="7" t="s">
        <v>1078</v>
      </c>
      <c r="I270" s="10" t="s">
        <v>1079</v>
      </c>
      <c r="J270" s="7" t="s">
        <v>41</v>
      </c>
    </row>
    <row r="271" ht="15.75" customHeight="1">
      <c r="A271" s="7">
        <v>250.0</v>
      </c>
      <c r="B271" s="7" t="s">
        <v>849</v>
      </c>
      <c r="C271" s="7">
        <v>13.0</v>
      </c>
      <c r="D271" s="8" t="s">
        <v>717</v>
      </c>
      <c r="E271" s="7" t="s">
        <v>1058</v>
      </c>
      <c r="F271" s="8" t="s">
        <v>726</v>
      </c>
      <c r="G271" s="8" t="s">
        <v>368</v>
      </c>
      <c r="H271" s="7" t="s">
        <v>1082</v>
      </c>
      <c r="I271" s="10" t="s">
        <v>1083</v>
      </c>
      <c r="J271" s="7" t="s">
        <v>41</v>
      </c>
    </row>
    <row r="272" ht="15.75" customHeight="1">
      <c r="A272" s="7">
        <v>251.0</v>
      </c>
      <c r="B272" s="7" t="s">
        <v>849</v>
      </c>
      <c r="C272" s="7">
        <v>13.0</v>
      </c>
      <c r="D272" s="8" t="s">
        <v>717</v>
      </c>
      <c r="E272" s="7" t="s">
        <v>1058</v>
      </c>
      <c r="F272" s="8" t="s">
        <v>726</v>
      </c>
      <c r="G272" s="8" t="s">
        <v>368</v>
      </c>
      <c r="H272" s="7" t="s">
        <v>1084</v>
      </c>
      <c r="I272" s="10" t="s">
        <v>1085</v>
      </c>
      <c r="J272" s="7" t="s">
        <v>41</v>
      </c>
    </row>
    <row r="273" ht="15.75" customHeight="1">
      <c r="A273" s="7">
        <v>252.0</v>
      </c>
      <c r="B273" s="7" t="s">
        <v>849</v>
      </c>
      <c r="C273" s="7">
        <v>13.0</v>
      </c>
      <c r="D273" s="8" t="s">
        <v>717</v>
      </c>
      <c r="E273" s="7" t="s">
        <v>1058</v>
      </c>
      <c r="F273" s="8" t="s">
        <v>726</v>
      </c>
      <c r="G273" s="8" t="s">
        <v>368</v>
      </c>
      <c r="H273" s="7" t="s">
        <v>1086</v>
      </c>
      <c r="I273" s="10" t="s">
        <v>1088</v>
      </c>
      <c r="J273" s="7" t="s">
        <v>41</v>
      </c>
    </row>
    <row r="274" ht="15.75" customHeight="1">
      <c r="A274" s="7">
        <v>253.0</v>
      </c>
      <c r="B274" s="7" t="s">
        <v>849</v>
      </c>
      <c r="C274" s="7">
        <v>13.0</v>
      </c>
      <c r="D274" s="8" t="s">
        <v>717</v>
      </c>
      <c r="E274" s="7" t="s">
        <v>1068</v>
      </c>
      <c r="F274" s="8" t="s">
        <v>733</v>
      </c>
      <c r="G274" s="8" t="s">
        <v>368</v>
      </c>
      <c r="H274" s="7" t="s">
        <v>1091</v>
      </c>
      <c r="I274" s="10" t="s">
        <v>1092</v>
      </c>
      <c r="J274" s="7" t="s">
        <v>442</v>
      </c>
    </row>
    <row r="275" ht="15.75" customHeight="1">
      <c r="A275" s="7">
        <v>254.0</v>
      </c>
      <c r="B275" s="7" t="s">
        <v>849</v>
      </c>
      <c r="C275" s="7">
        <v>13.0</v>
      </c>
      <c r="D275" s="8" t="s">
        <v>717</v>
      </c>
      <c r="E275" s="7" t="s">
        <v>1068</v>
      </c>
      <c r="F275" s="8" t="s">
        <v>733</v>
      </c>
      <c r="G275" s="8" t="s">
        <v>368</v>
      </c>
      <c r="H275" s="7" t="s">
        <v>1094</v>
      </c>
      <c r="I275" s="10" t="s">
        <v>1095</v>
      </c>
      <c r="J275" s="7" t="s">
        <v>442</v>
      </c>
    </row>
    <row r="276" ht="15.75" customHeight="1">
      <c r="A276" s="7">
        <v>255.0</v>
      </c>
      <c r="B276" s="7" t="s">
        <v>849</v>
      </c>
      <c r="C276" s="7">
        <v>13.0</v>
      </c>
      <c r="D276" s="8" t="s">
        <v>717</v>
      </c>
      <c r="E276" s="7" t="s">
        <v>1068</v>
      </c>
      <c r="F276" s="8" t="s">
        <v>733</v>
      </c>
      <c r="G276" s="8" t="s">
        <v>368</v>
      </c>
      <c r="H276" s="7" t="s">
        <v>1097</v>
      </c>
      <c r="I276" s="10" t="s">
        <v>959</v>
      </c>
      <c r="J276" s="7" t="s">
        <v>41</v>
      </c>
    </row>
    <row r="277" ht="15.75" customHeight="1">
      <c r="A277" s="7">
        <v>256.0</v>
      </c>
      <c r="B277" s="7" t="s">
        <v>849</v>
      </c>
      <c r="C277" s="7">
        <v>13.0</v>
      </c>
      <c r="D277" s="8" t="s">
        <v>717</v>
      </c>
      <c r="E277" s="7" t="s">
        <v>1068</v>
      </c>
      <c r="F277" s="8" t="s">
        <v>733</v>
      </c>
      <c r="G277" s="8" t="s">
        <v>368</v>
      </c>
      <c r="H277" s="7" t="s">
        <v>1099</v>
      </c>
      <c r="I277" s="10" t="s">
        <v>1100</v>
      </c>
      <c r="J277" s="7" t="s">
        <v>41</v>
      </c>
    </row>
    <row r="278" ht="15.75" customHeight="1">
      <c r="A278" s="7">
        <v>257.0</v>
      </c>
      <c r="B278" s="7" t="s">
        <v>849</v>
      </c>
      <c r="C278" s="7">
        <v>13.0</v>
      </c>
      <c r="D278" s="8" t="s">
        <v>717</v>
      </c>
      <c r="E278" s="7" t="s">
        <v>1068</v>
      </c>
      <c r="F278" s="8" t="s">
        <v>733</v>
      </c>
      <c r="G278" s="8" t="s">
        <v>368</v>
      </c>
      <c r="H278" s="7" t="s">
        <v>1101</v>
      </c>
      <c r="I278" s="10" t="s">
        <v>1102</v>
      </c>
      <c r="J278" s="7" t="s">
        <v>41</v>
      </c>
    </row>
    <row r="279" ht="15.75" customHeight="1">
      <c r="A279" s="7">
        <v>258.0</v>
      </c>
      <c r="B279" s="7" t="s">
        <v>849</v>
      </c>
      <c r="C279" s="7">
        <v>13.0</v>
      </c>
      <c r="D279" s="8" t="s">
        <v>717</v>
      </c>
      <c r="E279" s="7" t="s">
        <v>1071</v>
      </c>
      <c r="F279" s="8" t="s">
        <v>743</v>
      </c>
      <c r="G279" s="8" t="s">
        <v>368</v>
      </c>
      <c r="H279" s="7" t="s">
        <v>747</v>
      </c>
      <c r="I279" s="10" t="s">
        <v>1104</v>
      </c>
      <c r="J279" s="7" t="s">
        <v>41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1:$J$279"/>
  <conditionalFormatting sqref="C5:J17">
    <cfRule type="expression" dxfId="2" priority="1">
      <formula>C5&gt;0</formula>
    </cfRule>
  </conditionalFormatting>
  <conditionalFormatting sqref="C5:J17">
    <cfRule type="expression" dxfId="3" priority="2">
      <formula>C5=0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8.0"/>
    <col customWidth="1" min="3" max="3" width="10.0"/>
    <col customWidth="1" min="4" max="4" width="46.0"/>
    <col customWidth="1" min="5" max="26" width="8.71"/>
  </cols>
  <sheetData>
    <row r="1">
      <c r="A1" s="1" t="s">
        <v>918</v>
      </c>
    </row>
    <row r="2">
      <c r="A2" s="3" t="s">
        <v>920</v>
      </c>
    </row>
    <row r="4">
      <c r="A4" s="5" t="s">
        <v>923</v>
      </c>
      <c r="B4" s="5" t="s">
        <v>924</v>
      </c>
      <c r="C4" s="5" t="s">
        <v>925</v>
      </c>
      <c r="D4" s="5" t="s">
        <v>926</v>
      </c>
    </row>
    <row r="5">
      <c r="A5" s="7">
        <v>1.0</v>
      </c>
      <c r="B5" s="8" t="s">
        <v>930</v>
      </c>
      <c r="C5" s="7" t="str">
        <f>IF(SUMIF('Additional Settings'!B5:B200,"Instalment",'Additional Settings'!E5:E200)=100,"OK","ERROR")</f>
        <v>OK</v>
      </c>
      <c r="D5" s="8" t="str">
        <f>"Total = "&amp;SUMIF('Additional Settings'!B5:B200,"Instalment",'Additional Settings'!E5:E200)</f>
        <v>Total = 100</v>
      </c>
    </row>
    <row r="6">
      <c r="A6" s="7">
        <v>2.0</v>
      </c>
      <c r="B6" s="8" t="s">
        <v>942</v>
      </c>
      <c r="C6" s="7" t="str">
        <f>IF(SUMPRODUCT(MAX(('Additional Settings'!B5:B200="Instalment")*N(+'Additional Settings'!F5:F200)))&lt;=SUMIF('Additional Settings'!C5:C200,"Sale Completion Window",'Additional Settings'!E5:E200),"OK","ERROR")</f>
        <v>OK</v>
      </c>
      <c r="D6" s="8" t="str">
        <f>"Last due = "&amp;SUMPRODUCT(MAX(('Additional Settings'!B5:B200="Instalment")*N(+'Additional Settings'!F5:F200)))&amp;" working days, window = "&amp;SUMIF('Additional Settings'!C5:C200,"Sale Completion Window",'Additional Settings'!E5:E200)&amp;" days"</f>
        <v>Last due = 13 working days, window = 15 days</v>
      </c>
    </row>
    <row r="7">
      <c r="A7" s="7">
        <v>3.0</v>
      </c>
      <c r="B7" s="8" t="s">
        <v>956</v>
      </c>
      <c r="C7" s="7" t="str">
        <f>IF(COUNTIFS('Additional Settings'!D5:D200,"Percentage",'Additional Settings'!E5:E200,"&gt;100")+COUNTIFS('Additional Settings'!D5:D200,"Percentage",'Additional Settings'!E5:E200,"&lt;0")=0,"OK","ERROR")</f>
        <v>OK</v>
      </c>
      <c r="D7" s="8" t="str">
        <f>"Out-of-range rows: "&amp;(COUNTIFS('Additional Settings'!D5:D200,"Percentage",'Additional Settings'!E5:E200,"&gt;100")+COUNTIFS('Additional Settings'!D5:D200,"Percentage",'Additional Settings'!E5:E200,"&lt;0"))</f>
        <v>Out-of-range rows: 0</v>
      </c>
    </row>
    <row r="8">
      <c r="A8" s="7">
        <v>4.0</v>
      </c>
      <c r="B8" s="8" t="s">
        <v>964</v>
      </c>
      <c r="C8" s="7" t="str">
        <f>IF(COUNTA('Additional Settings'!C5:C200)=COUNTA('Additional Settings'!E5:E200),"OK","ERROR")</f>
        <v>OK</v>
      </c>
      <c r="D8" s="8" t="str">
        <f>"Blank values: "&amp;(COUNTA('Additional Settings'!C5:C200)-COUNTA('Additional Settings'!E5:E200))</f>
        <v>Blank values: 0</v>
      </c>
    </row>
    <row r="9">
      <c r="A9" s="7">
        <v>5.0</v>
      </c>
      <c r="B9" s="8" t="s">
        <v>971</v>
      </c>
      <c r="C9" s="7" t="str">
        <f>IF(SUMPRODUCT(('Additional Settings'!A5:A200&lt;&gt;"")/COUNTIF('Additional Settings'!A5:A200,'Additional Settings'!A5:A200&amp;""))=COUNT('Additional Settings'!A5:A200),"OK","ERROR")</f>
        <v>OK</v>
      </c>
      <c r="D9" s="8" t="str">
        <f>""</f>
        <v/>
      </c>
    </row>
    <row r="10">
      <c r="A10" s="7">
        <v>6.0</v>
      </c>
      <c r="B10" s="8" t="s">
        <v>973</v>
      </c>
      <c r="C10" s="7" t="str">
        <f>IF(COUNTIFS('Tenant Profile'!E5:E20,"Yes",'Tenant Profile'!D5:D20,"")=0,"OK","ERROR")</f>
        <v>ERROR</v>
      </c>
      <c r="D10" s="8" t="str">
        <f>"Missing required: "&amp;COUNTIFS('Tenant Profile'!E5:E20,"Yes",'Tenant Profile'!D5:D20,"")</f>
        <v>Missing required: 7</v>
      </c>
    </row>
    <row r="11">
      <c r="A11" s="7">
        <v>7.0</v>
      </c>
      <c r="B11" s="8" t="s">
        <v>980</v>
      </c>
      <c r="C11" s="7" t="str">
        <f>IF(AND(LEN('Tenant Profile'!D13)=6,ISNUMBER(--'Tenant Profile'!D13)),"OK","ERROR")</f>
        <v>ERROR</v>
      </c>
      <c r="D11" s="8" t="str">
        <f>"Value: "&amp;'Tenant Profile'!D13</f>
        <v>Value: </v>
      </c>
    </row>
    <row r="12">
      <c r="A12" s="7">
        <v>8.0</v>
      </c>
      <c r="B12" s="8" t="s">
        <v>988</v>
      </c>
      <c r="C12" s="7" t="str">
        <f>IF(SUMPRODUCT(('Approval Stages'!E5:E1000&lt;&gt;"")/COUNTIF('Approval Stages'!E5:E1000,'Approval Stages'!E5:E1000&amp;""))=COUNTA('Approval Stages'!E5:E1000),"OK","ERROR")</f>
        <v>OK</v>
      </c>
      <c r="D12" s="8" t="str">
        <f>"Tasks: "&amp;COUNTA('Approval Stages'!E5:E1000)</f>
        <v>Tasks: 148</v>
      </c>
    </row>
    <row r="13">
      <c r="A13" s="7">
        <v>9.0</v>
      </c>
      <c r="B13" s="8" t="s">
        <v>998</v>
      </c>
      <c r="C13" s="7" t="str">
        <f>IF(COUNTIF('Approval Stages'!K5:K1000,"&lt;0")=0,"OK","ERROR")</f>
        <v>OK</v>
      </c>
      <c r="D13" s="8" t="str">
        <f>""</f>
        <v/>
      </c>
    </row>
    <row r="14">
      <c r="A14" s="7">
        <v>10.0</v>
      </c>
      <c r="B14" s="8" t="s">
        <v>1002</v>
      </c>
      <c r="C14" s="7" t="str">
        <f>IF(SUMPRODUCT(('Facility Master'!B5:B500&lt;&gt;"")/COUNTIF('Facility Master'!B5:B500,'Facility Master'!B5:B500&amp;""))=COUNTA('Facility Master'!B5:B500),"OK","ERROR")</f>
        <v>OK</v>
      </c>
      <c r="D14" s="8" t="str">
        <f>"Facilities: "&amp;COUNTA('Facility Master'!B5:B500)</f>
        <v>Facilities: 40</v>
      </c>
    </row>
    <row r="15">
      <c r="A15" s="7">
        <v>11.0</v>
      </c>
      <c r="B15" s="8" t="s">
        <v>1009</v>
      </c>
      <c r="C15" s="7" t="str">
        <f>IF(SUMPRODUCT(('Document Checklist'!C5:C1000&lt;&gt;"")/COUNTIF('Document Checklist'!C5:C1000,'Document Checklist'!C5:C1000&amp;""))=COUNTA('Document Checklist'!C5:C1000),"OK","ERROR")</f>
        <v>OK</v>
      </c>
      <c r="D15" s="8" t="str">
        <f>"Documents: "&amp;COUNTA('Document Checklist'!C5:C1000)</f>
        <v>Documents: 110</v>
      </c>
    </row>
    <row r="16">
      <c r="A16" s="7">
        <v>12.0</v>
      </c>
      <c r="B16" s="8" t="s">
        <v>1015</v>
      </c>
      <c r="C16" s="7" t="str">
        <f>IF(COUNTIF('Document Checklist'!L5:N1000,"")-3*(1000-4-COUNTA('Document Checklist'!C5:C1000))=0,"OK","ERROR")</f>
        <v>OK</v>
      </c>
      <c r="D16" s="8" t="str">
        <f t="shared" ref="D16:D18" si="1">""</f>
        <v/>
      </c>
    </row>
    <row r="17">
      <c r="A17" s="7">
        <v>13.0</v>
      </c>
      <c r="B17" s="8" t="s">
        <v>1022</v>
      </c>
      <c r="C17" s="7" t="str">
        <f t="array" ref="C17">IF(SUMPRODUCT(('Document Checklist'!L5:N1000&lt;&gt;"")*('Document Checklist'!L5:N1000&lt;&gt;"N/A")*(COUNTIF('Approval Stages'!E5:E2000,'Document Checklist'!L5:N1000)=0))=0,"OK","ERROR")</f>
        <v>OK</v>
      </c>
      <c r="D17" s="8" t="str">
        <f t="shared" si="1"/>
        <v/>
      </c>
    </row>
    <row r="18">
      <c r="A18" s="7">
        <v>14.0</v>
      </c>
      <c r="B18" s="8" t="s">
        <v>1051</v>
      </c>
      <c r="C18" s="7" t="str">
        <f t="array" ref="C18">IF(SUMPRODUCT(--(COUNTIF('Document Checklist'!B5:B1000,Lists!F2:F9)=0))=0,"OK","ERROR")</f>
        <v>OK</v>
      </c>
      <c r="D18" s="8" t="str">
        <f t="shared" si="1"/>
        <v/>
      </c>
    </row>
    <row r="19">
      <c r="A19" s="7">
        <v>15.0</v>
      </c>
      <c r="B19" s="8" t="s">
        <v>1060</v>
      </c>
      <c r="C19" s="7" t="str">
        <f>IF(COUNTIF(Users!E5:E54,"Admin")&gt;=1,"OK","ERROR")</f>
        <v>ERROR</v>
      </c>
      <c r="D19" s="8" t="str">
        <f>"Admins: "&amp;COUNTIF(Users!E5:E54,"Admin")</f>
        <v>Admins: 0</v>
      </c>
    </row>
    <row r="20">
      <c r="A20" s="7">
        <v>16.0</v>
      </c>
      <c r="B20" s="8" t="s">
        <v>1066</v>
      </c>
      <c r="C20" s="7" t="str">
        <f>IF(SUMPRODUCT((COUNTA(Users!B5:B54)+COUNTA(Users!C5:C54)+COUNTA(Users!D5:D54)+COUNTA(Users!E5:E54))=4*COUNTA(Users!C5:C54))*(COUNTA(Users!C5:C54)&gt;0),"OK","ERROR")</f>
        <v>ERROR</v>
      </c>
      <c r="D20" s="8" t="str">
        <f>"Users: "&amp;COUNTA(Users!C5:C54)</f>
        <v>Users: 0</v>
      </c>
    </row>
    <row r="21" ht="15.75" customHeight="1">
      <c r="A21" s="7">
        <v>17.0</v>
      </c>
      <c r="B21" s="8" t="s">
        <v>1073</v>
      </c>
      <c r="C21" s="7" t="str">
        <f>IF(SUMPRODUCT((Users!C5:C54&lt;&gt;"")/COUNTIF(Users!C5:C54,Users!C5:C54&amp;""))=COUNTA(Users!C5:C54),"OK","ERROR")</f>
        <v>OK</v>
      </c>
      <c r="D21" s="8" t="str">
        <f t="shared" ref="D21:D24" si="2">""</f>
        <v/>
      </c>
    </row>
    <row r="22" ht="15.75" customHeight="1">
      <c r="A22" s="7">
        <v>18.0</v>
      </c>
      <c r="B22" s="8" t="s">
        <v>1077</v>
      </c>
      <c r="C22" s="7" t="str">
        <f>IF(SUMPRODUCT((Users!D5:D54&lt;&gt;"")*(LEN(Users!D5:D54)&lt;&gt;10))=0,"OK","ERROR")</f>
        <v>OK</v>
      </c>
      <c r="D22" s="8" t="str">
        <f t="shared" si="2"/>
        <v/>
      </c>
    </row>
    <row r="23" ht="15.75" customHeight="1">
      <c r="A23" s="7">
        <v>19.0</v>
      </c>
      <c r="B23" s="8" t="s">
        <v>1081</v>
      </c>
      <c r="C23" s="7" t="str">
        <f t="array" ref="C23">IF(SUMPRODUCT((Users!E5:E54&lt;&gt;"")*(COUNTIF(Lists!J2:J5,Users!E5:E54)=0))=0,"OK","ERROR")</f>
        <v>OK</v>
      </c>
      <c r="D23" s="8" t="str">
        <f t="shared" si="2"/>
        <v/>
      </c>
    </row>
    <row r="24" ht="15.75" customHeight="1">
      <c r="A24" s="7">
        <v>20.0</v>
      </c>
      <c r="B24" s="8" t="s">
        <v>1093</v>
      </c>
      <c r="C24" s="7" t="str">
        <f>IF(COUNTIFS('Notification Groups'!B5:B100,"&lt;&gt;",'Notification Groups'!E5:E100,"Yes")&gt;=1,"OK","ERROR")</f>
        <v>OK</v>
      </c>
      <c r="D24" s="8" t="str">
        <f t="shared" si="2"/>
        <v/>
      </c>
    </row>
    <row r="25" ht="15.75" customHeight="1">
      <c r="A25" s="7">
        <v>21.0</v>
      </c>
      <c r="B25" s="8" t="s">
        <v>1096</v>
      </c>
      <c r="C25" s="7" t="str">
        <f>IF(AND(LEN('Tenant Profile'!D14)=10,ISNUMBER(--'Tenant Profile'!D14)),"OK","ERROR")</f>
        <v>ERROR</v>
      </c>
      <c r="D25" s="8" t="str">
        <f>"Value: "&amp;'Tenant Profile'!D14</f>
        <v>Value: </v>
      </c>
    </row>
    <row r="26" ht="15.75" customHeight="1">
      <c r="A26" s="7">
        <v>22.0</v>
      </c>
      <c r="B26" s="8" t="s">
        <v>1103</v>
      </c>
      <c r="C26" s="7" t="str">
        <f>IF(COUNTIFS('Facility Master'!D5:D500,"&lt;&gt;",'Facility Master'!K5:K500,"&lt;=0")+COUNTIFS('Facility Master'!D5:D500,"&lt;&gt;",'Facility Master'!L5:L500,"&lt;=0")+COUNTIFS('Facility Master'!D5:D500,"&lt;&gt;",'Facility Master'!M5:M500,"&lt;=0")=0,"OK","ERROR")</f>
        <v>OK</v>
      </c>
      <c r="D26" s="8" t="str">
        <f>""</f>
        <v/>
      </c>
    </row>
    <row r="27" ht="15.75" customHeight="1"/>
    <row r="28" ht="15.75" customHeight="1">
      <c r="B28" s="25" t="s">
        <v>1108</v>
      </c>
      <c r="C28" s="28" t="str">
        <f>IF(COUNTIF(C5:C26,"ERROR")=0,"READY","FIX ERRORS")</f>
        <v>FIX ERRORS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5:C26">
    <cfRule type="expression" dxfId="1" priority="1">
      <formula>C5="OK"</formula>
    </cfRule>
  </conditionalFormatting>
  <conditionalFormatting sqref="C5:C26">
    <cfRule type="expression" dxfId="0" priority="2">
      <formula>C5="ERROR"</formula>
    </cfRule>
  </conditionalFormatting>
  <conditionalFormatting sqref="C28">
    <cfRule type="expression" dxfId="1" priority="3">
      <formula>C28="READY"</formula>
    </cfRule>
  </conditionalFormatting>
  <conditionalFormatting sqref="C28">
    <cfRule type="expression" dxfId="0" priority="4">
      <formula>C28&lt;&gt;"READY"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0"/>
    <col customWidth="1" min="12" max="26" width="8.71"/>
  </cols>
  <sheetData>
    <row r="1">
      <c r="A1" s="29" t="s">
        <v>1111</v>
      </c>
      <c r="B1" s="29" t="s">
        <v>1112</v>
      </c>
      <c r="C1" s="29" t="s">
        <v>142</v>
      </c>
      <c r="D1" s="29" t="s">
        <v>1113</v>
      </c>
      <c r="E1" s="29" t="s">
        <v>1114</v>
      </c>
      <c r="F1" s="29" t="s">
        <v>347</v>
      </c>
      <c r="G1" s="29" t="s">
        <v>349</v>
      </c>
      <c r="H1" s="29" t="s">
        <v>353</v>
      </c>
      <c r="I1" s="29" t="s">
        <v>73</v>
      </c>
      <c r="J1" s="29" t="s">
        <v>138</v>
      </c>
      <c r="K1" s="29" t="s">
        <v>1115</v>
      </c>
    </row>
    <row r="2">
      <c r="A2" s="4" t="s">
        <v>51</v>
      </c>
      <c r="B2" s="4" t="s">
        <v>62</v>
      </c>
      <c r="C2" s="4" t="s">
        <v>63</v>
      </c>
      <c r="D2" s="4" t="s">
        <v>179</v>
      </c>
      <c r="E2" s="4" t="s">
        <v>41</v>
      </c>
      <c r="F2" s="4" t="s">
        <v>360</v>
      </c>
      <c r="G2" s="4" t="s">
        <v>370</v>
      </c>
      <c r="H2" s="4" t="s">
        <v>41</v>
      </c>
      <c r="I2" s="4" t="s">
        <v>80</v>
      </c>
      <c r="J2" s="4" t="s">
        <v>1116</v>
      </c>
      <c r="K2" s="4" t="s">
        <v>66</v>
      </c>
    </row>
    <row r="3">
      <c r="A3" s="4" t="s">
        <v>127</v>
      </c>
      <c r="B3" s="4" t="s">
        <v>90</v>
      </c>
      <c r="C3" s="4" t="s">
        <v>748</v>
      </c>
      <c r="D3" s="4" t="s">
        <v>180</v>
      </c>
      <c r="E3" s="4" t="s">
        <v>49</v>
      </c>
      <c r="F3" s="4" t="s">
        <v>361</v>
      </c>
      <c r="G3" s="4" t="s">
        <v>63</v>
      </c>
      <c r="H3" s="4" t="s">
        <v>442</v>
      </c>
      <c r="I3" s="4" t="s">
        <v>1117</v>
      </c>
      <c r="J3" s="4" t="s">
        <v>1118</v>
      </c>
    </row>
    <row r="4">
      <c r="B4" s="4" t="s">
        <v>118</v>
      </c>
      <c r="C4" s="4" t="s">
        <v>849</v>
      </c>
      <c r="D4" s="4" t="s">
        <v>1119</v>
      </c>
      <c r="F4" s="4" t="s">
        <v>363</v>
      </c>
      <c r="G4" s="4" t="s">
        <v>748</v>
      </c>
      <c r="H4" s="4" t="s">
        <v>49</v>
      </c>
      <c r="I4" s="4" t="s">
        <v>1120</v>
      </c>
      <c r="J4" s="4" t="s">
        <v>1121</v>
      </c>
    </row>
    <row r="5">
      <c r="B5" s="4" t="s">
        <v>125</v>
      </c>
      <c r="F5" s="4" t="s">
        <v>364</v>
      </c>
      <c r="G5" s="4" t="s">
        <v>849</v>
      </c>
      <c r="I5" s="4" t="s">
        <v>1122</v>
      </c>
      <c r="J5" s="4" t="s">
        <v>1123</v>
      </c>
    </row>
    <row r="6">
      <c r="F6" s="4" t="s">
        <v>365</v>
      </c>
      <c r="G6" s="4" t="s">
        <v>1124</v>
      </c>
      <c r="I6" s="4" t="s">
        <v>1125</v>
      </c>
    </row>
    <row r="7">
      <c r="F7" s="4" t="s">
        <v>366</v>
      </c>
      <c r="I7" s="4" t="s">
        <v>1126</v>
      </c>
    </row>
    <row r="8">
      <c r="F8" s="4" t="s">
        <v>367</v>
      </c>
    </row>
    <row r="9">
      <c r="F9" s="4" t="s">
        <v>368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